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riaperu-my.sharepoint.com/personal/itejada_soboce_com/Documents/Documentos/5. Bases/"/>
    </mc:Choice>
  </mc:AlternateContent>
  <xr:revisionPtr revIDLastSave="0" documentId="8_{CCA28CD2-5114-4D57-A005-0BAEED56F7A9}" xr6:coauthVersionLast="47" xr6:coauthVersionMax="47" xr10:uidLastSave="{00000000-0000-0000-0000-000000000000}"/>
  <bookViews>
    <workbookView xWindow="-108" yWindow="-108" windowWidth="23256" windowHeight="13896" activeTab="1" xr2:uid="{F496CA4D-CE8E-40EA-AD9E-6E7199069EEC}"/>
  </bookViews>
  <sheets>
    <sheet name="Inputs" sheetId="1" r:id="rId1"/>
    <sheet name="OutPut" sheetId="2" r:id="rId2"/>
    <sheet name="Combos y cashbac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3" l="1"/>
  <c r="F94" i="3"/>
  <c r="F92" i="3"/>
  <c r="F85" i="3"/>
  <c r="F22" i="3"/>
  <c r="F83" i="3"/>
  <c r="H64" i="3"/>
  <c r="F64" i="3"/>
  <c r="I64" i="3" s="1"/>
  <c r="H75" i="3"/>
  <c r="H74" i="3"/>
  <c r="H73" i="3"/>
  <c r="H70" i="3"/>
  <c r="F52" i="3"/>
  <c r="F42" i="3"/>
  <c r="F31" i="3"/>
  <c r="H31" i="3"/>
  <c r="H58" i="3"/>
  <c r="H57" i="3"/>
  <c r="H48" i="3"/>
  <c r="H47" i="3"/>
  <c r="H27" i="3"/>
  <c r="H26" i="3"/>
  <c r="H25" i="3"/>
  <c r="H24" i="3"/>
  <c r="H23" i="3"/>
  <c r="F17" i="3"/>
  <c r="H14" i="3"/>
  <c r="H11" i="3"/>
  <c r="H10" i="3"/>
  <c r="F18" i="3"/>
  <c r="D4" i="2"/>
  <c r="H83" i="3" l="1"/>
  <c r="F132" i="3"/>
  <c r="H132" i="3" s="1"/>
  <c r="H42" i="3"/>
  <c r="H52" i="3"/>
  <c r="F20" i="3"/>
  <c r="F62" i="3" s="1"/>
  <c r="H20" i="3"/>
  <c r="H17" i="3"/>
  <c r="I17" i="3" s="1"/>
  <c r="H18" i="3" s="1"/>
  <c r="F134" i="3" l="1"/>
  <c r="H62" i="3"/>
  <c r="I62" i="3" s="1"/>
  <c r="H134" i="3" l="1"/>
</calcChain>
</file>

<file path=xl/sharedStrings.xml><?xml version="1.0" encoding="utf-8"?>
<sst xmlns="http://schemas.openxmlformats.org/spreadsheetml/2006/main" count="376" uniqueCount="107">
  <si>
    <t>Regional</t>
  </si>
  <si>
    <t>Tipo de obra</t>
  </si>
  <si>
    <t>Scanner Obra:</t>
  </si>
  <si>
    <t>Dimensiones</t>
  </si>
  <si>
    <t>PROYECTO</t>
  </si>
  <si>
    <t>VIVIENDA UNIFAMILIAR</t>
  </si>
  <si>
    <t>M2</t>
  </si>
  <si>
    <t>FECHA</t>
  </si>
  <si>
    <t>T/C</t>
  </si>
  <si>
    <t>FUENTE</t>
  </si>
  <si>
    <t xml:space="preserve">REVISTA PRECIOS Y CONSTRUCCIÓN </t>
  </si>
  <si>
    <t>ITEM</t>
  </si>
  <si>
    <t>DESCRIPCIÓN</t>
  </si>
  <si>
    <t>UN.</t>
  </si>
  <si>
    <t>P.U.
[Bs]</t>
  </si>
  <si>
    <t>P.U.
[USD]</t>
  </si>
  <si>
    <t>CANT</t>
  </si>
  <si>
    <t>TOTAL
[USD]</t>
  </si>
  <si>
    <t>TOTAL
[Bs.]</t>
  </si>
  <si>
    <t>INODORO</t>
  </si>
  <si>
    <t>CIELO FALSO</t>
  </si>
  <si>
    <t>REVOQUE INTERIOR CON ESTUCO</t>
  </si>
  <si>
    <t>REVOQUE EXTERIOR PIRULEADO</t>
  </si>
  <si>
    <t>CARPETA  DE  HORMIGON  SIMPLE   E=8 CM DOSIF. 1:2:3 C/EMPEDRADO</t>
  </si>
  <si>
    <t xml:space="preserve">TOTAL PRESUPUESTO </t>
  </si>
  <si>
    <t>INDICE POR METRO CUADRADO (65 M2)</t>
  </si>
  <si>
    <t>CANTIDAD DE CEMENTO EN OBRA (KG)</t>
  </si>
  <si>
    <t>PRECIO UNITARIO BOLSA DE CEMENTO (LISTA)</t>
  </si>
  <si>
    <t>PRESUPUESTO DE CEMENTO EN OBRA (BS)</t>
  </si>
  <si>
    <t>INCIDENCIA EN OBRA (%)</t>
  </si>
  <si>
    <t>INSTALACIÓN DE FAENAS</t>
  </si>
  <si>
    <t>glb</t>
  </si>
  <si>
    <t>NIVELACIÓN DE TERRENO (no clasificado)</t>
  </si>
  <si>
    <t>m²</t>
  </si>
  <si>
    <t>TRAZADO Y REPLANTEO</t>
  </si>
  <si>
    <t>FUNDACIONES DE HORMIGON ARMADO</t>
  </si>
  <si>
    <t>m3</t>
  </si>
  <si>
    <t>VIGAS DE HORMIGON ARMADO</t>
  </si>
  <si>
    <t>COLUMNAS DE HORMIGON ARMADO</t>
  </si>
  <si>
    <t>SOBRECIMIENTO DE H°C°</t>
  </si>
  <si>
    <t>CIMIENTO DE H°C°</t>
  </si>
  <si>
    <t>LOSA DE HORMIGÓN CON VIGUETA PREFABRICADA</t>
  </si>
  <si>
    <t>PISO DE CERÁMICA NACIONAL</t>
  </si>
  <si>
    <t>PISO DE MADERA TAJIBO</t>
  </si>
  <si>
    <t>ZOCALO DE CERÁMICA H=10CM</t>
  </si>
  <si>
    <t>ml</t>
  </si>
  <si>
    <t>REVESTIMIENTO CERAMICO</t>
  </si>
  <si>
    <t>PUERTA DE MADERA 0.90 X 2.10 MTS</t>
  </si>
  <si>
    <t>pza</t>
  </si>
  <si>
    <t>PUERTA DE MADERA 0.80 X 2.10 MTS</t>
  </si>
  <si>
    <t>PUERTA DE MADERA 0.70 X 2.10 MTS</t>
  </si>
  <si>
    <t>VENTANA METALICA (ANGULAR 1"X1/8")</t>
  </si>
  <si>
    <t>PINTURA LATEX INTERIOR</t>
  </si>
  <si>
    <t>PINTURA LATEX EXTERIOR</t>
  </si>
  <si>
    <t>INSTALACION AGUA POTABLE</t>
  </si>
  <si>
    <t>pto</t>
  </si>
  <si>
    <t>INSTALACION SANITARIA</t>
  </si>
  <si>
    <t>BASE PARA DUCHA</t>
  </si>
  <si>
    <t>LAVAMANOS MAS ACCESORIOS</t>
  </si>
  <si>
    <t>LAVAPLATOS 1 DEP.</t>
  </si>
  <si>
    <t>LAVAROPA 1 DEP.</t>
  </si>
  <si>
    <t>MESON PARA COCINA DE H°A° c/revestimiento cerámico</t>
  </si>
  <si>
    <t>CÁMARA DE INSPECCIÓN (60 x 60) - H°C° 70% P.D.</t>
  </si>
  <si>
    <t>TAPAS DE HORMIGÓN ARMADO (70x70) - e = 7 cm</t>
  </si>
  <si>
    <t>INSTALACION ELECTRICA (CAJA MAS TERMICOS y PILASTRA)</t>
  </si>
  <si>
    <t>PUNTO DE ILUMINACION INCANDESCENTE</t>
  </si>
  <si>
    <t>TOMACORRIENTES DOBLES</t>
  </si>
  <si>
    <t>INTERRUPTORES</t>
  </si>
  <si>
    <t>INSTALACION ELECTRICA (TELÉFONO) - CON CABLE</t>
  </si>
  <si>
    <t>INSTALACION ELECTRICA (TELEVISIÓN) - SIN CABLE</t>
  </si>
  <si>
    <t>INSTALACION ELECTRICA (DUCHA)</t>
  </si>
  <si>
    <t>MURO DE LADRILLO 6H</t>
  </si>
  <si>
    <t>RETIRO DE ESCOMBROS</t>
  </si>
  <si>
    <t>Fases</t>
  </si>
  <si>
    <t>Primera Fase</t>
  </si>
  <si>
    <t>Segunda Fase</t>
  </si>
  <si>
    <t>Tercera Obra</t>
  </si>
  <si>
    <t>Cuarta Fase</t>
  </si>
  <si>
    <t>Presupuesto I</t>
  </si>
  <si>
    <t>Presupuesto II</t>
  </si>
  <si>
    <t>Presupuesto III</t>
  </si>
  <si>
    <t>Presupuesto FINAL</t>
  </si>
  <si>
    <t>Presupuesto IV</t>
  </si>
  <si>
    <t>COMBOS</t>
  </si>
  <si>
    <t>Materiales</t>
  </si>
  <si>
    <t>ACERO DE CONSTRUCCIÓN 8 mm</t>
  </si>
  <si>
    <t>ACERO DE CONSTRUCCIÓN 12 mm</t>
  </si>
  <si>
    <t>MADERA DE CONST.</t>
  </si>
  <si>
    <t>CLAVOS</t>
  </si>
  <si>
    <t>ALAMBRE DE AMARRE</t>
  </si>
  <si>
    <t>CEMENTO PORTLAND VIACHA</t>
  </si>
  <si>
    <t>kg</t>
  </si>
  <si>
    <t>ARENA COMUN</t>
  </si>
  <si>
    <t>m³</t>
  </si>
  <si>
    <t>GRAVA</t>
  </si>
  <si>
    <t>pie²</t>
  </si>
  <si>
    <t>bolsa</t>
  </si>
  <si>
    <t>PIEDRA MANZANA</t>
  </si>
  <si>
    <t>ACERO DE CONSTRUCCIÓN 10 mm</t>
  </si>
  <si>
    <t xml:space="preserve">PLASTOFORMO </t>
  </si>
  <si>
    <t>VIGUETA PRETENSADA</t>
  </si>
  <si>
    <t>ARENA FINA</t>
  </si>
  <si>
    <t xml:space="preserve">SIKA 01 </t>
  </si>
  <si>
    <t>lt</t>
  </si>
  <si>
    <t>m</t>
  </si>
  <si>
    <t>CEMENTO BLANCO</t>
  </si>
  <si>
    <t>CERAMICA  NAL. 20X30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</si>
</sst>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400A]d&quot; de &quot;mmmm&quot; de &quot;yyyy;@"/>
    <numFmt numFmtId="165" formatCode="#,##0.00&quot; $us&quot;"/>
    <numFmt numFmtId="166" formatCode="#,##0.00&quot; Bs.&quot;"/>
    <numFmt numFmtId="167" formatCode="_-* #,##0_-;\-* #,##0_-;_-* &quot;-&quot;??_-;_-@_-"/>
    <numFmt numFmtId="168" formatCode="_-* #,##0.0_-;\-* #,##0.0_-;_-* &quot;-&quot;??_-;_-@_-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wis721 LtEx BT"/>
      <family val="2"/>
    </font>
    <font>
      <b/>
      <sz val="16"/>
      <color theme="1"/>
      <name val="Swis721 LtEx BT"/>
      <family val="2"/>
    </font>
    <font>
      <b/>
      <sz val="14"/>
      <color theme="1"/>
      <name val="Swis721 LtEx BT"/>
      <family val="2"/>
    </font>
    <font>
      <b/>
      <sz val="11"/>
      <color theme="1"/>
      <name val="Swis721 LtEx BT"/>
      <family val="2"/>
    </font>
    <font>
      <b/>
      <sz val="12"/>
      <color theme="1"/>
      <name val="Swis721 LtEx BT"/>
      <family val="2"/>
    </font>
    <font>
      <sz val="11"/>
      <color theme="1"/>
      <name val="Swis721 LtEx BT"/>
    </font>
    <font>
      <i/>
      <sz val="11"/>
      <color theme="1"/>
      <name val="Swis721 LtEx BT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b/>
      <sz val="16"/>
      <color theme="1"/>
      <name val="Aptos Narrow"/>
      <family val="2"/>
      <scheme val="minor"/>
    </font>
    <font>
      <b/>
      <i/>
      <sz val="16"/>
      <color theme="1"/>
      <name val="Swis721 LtEx BT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98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4" fontId="4" fillId="2" borderId="2" xfId="0" applyNumberFormat="1" applyFont="1" applyFill="1" applyBorder="1" applyAlignment="1">
      <alignment horizontal="right"/>
    </xf>
    <xf numFmtId="4" fontId="4" fillId="2" borderId="2" xfId="0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right"/>
    </xf>
    <xf numFmtId="2" fontId="4" fillId="2" borderId="2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5" fontId="8" fillId="2" borderId="3" xfId="0" applyNumberFormat="1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vertical="center"/>
    </xf>
    <xf numFmtId="165" fontId="8" fillId="2" borderId="6" xfId="0" applyNumberFormat="1" applyFont="1" applyFill="1" applyBorder="1" applyAlignment="1">
      <alignment vertical="center"/>
    </xf>
    <xf numFmtId="166" fontId="8" fillId="2" borderId="8" xfId="0" applyNumberFormat="1" applyFont="1" applyFill="1" applyBorder="1" applyAlignment="1">
      <alignment vertical="center"/>
    </xf>
    <xf numFmtId="43" fontId="8" fillId="2" borderId="8" xfId="1" applyFont="1" applyFill="1" applyBorder="1" applyAlignment="1">
      <alignment vertical="center"/>
    </xf>
    <xf numFmtId="10" fontId="8" fillId="2" borderId="8" xfId="2" applyNumberFormat="1" applyFont="1" applyFill="1" applyBorder="1" applyAlignment="1">
      <alignment vertical="center"/>
    </xf>
    <xf numFmtId="0" fontId="9" fillId="2" borderId="2" xfId="0" applyFont="1" applyFill="1" applyBorder="1"/>
    <xf numFmtId="0" fontId="0" fillId="2" borderId="0" xfId="0" applyFill="1"/>
    <xf numFmtId="43" fontId="0" fillId="0" borderId="0" xfId="1" applyFont="1"/>
    <xf numFmtId="3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right"/>
    </xf>
    <xf numFmtId="0" fontId="12" fillId="2" borderId="16" xfId="3" applyFont="1" applyFill="1" applyBorder="1"/>
    <xf numFmtId="0" fontId="13" fillId="2" borderId="17" xfId="3" applyFont="1" applyFill="1" applyBorder="1"/>
    <xf numFmtId="0" fontId="13" fillId="2" borderId="18" xfId="3" applyFont="1" applyFill="1" applyBorder="1" applyAlignment="1">
      <alignment horizontal="center"/>
    </xf>
    <xf numFmtId="4" fontId="13" fillId="2" borderId="18" xfId="3" applyNumberFormat="1" applyFont="1" applyFill="1" applyBorder="1" applyAlignment="1">
      <alignment horizontal="center"/>
    </xf>
    <xf numFmtId="0" fontId="13" fillId="2" borderId="19" xfId="3" applyFont="1" applyFill="1" applyBorder="1"/>
    <xf numFmtId="0" fontId="13" fillId="2" borderId="0" xfId="3" applyFont="1" applyFill="1"/>
    <xf numFmtId="0" fontId="13" fillId="2" borderId="20" xfId="3" applyFont="1" applyFill="1" applyBorder="1" applyAlignment="1">
      <alignment horizontal="center"/>
    </xf>
    <xf numFmtId="0" fontId="13" fillId="2" borderId="0" xfId="3" applyFont="1" applyFill="1" applyAlignment="1">
      <alignment horizontal="center"/>
    </xf>
    <xf numFmtId="4" fontId="13" fillId="2" borderId="0" xfId="3" applyNumberFormat="1" applyFont="1" applyFill="1" applyAlignment="1">
      <alignment horizontal="center"/>
    </xf>
    <xf numFmtId="4" fontId="13" fillId="2" borderId="21" xfId="3" applyNumberFormat="1" applyFont="1" applyFill="1" applyBorder="1" applyAlignment="1">
      <alignment horizontal="center"/>
    </xf>
    <xf numFmtId="2" fontId="13" fillId="2" borderId="19" xfId="3" applyNumberFormat="1" applyFont="1" applyFill="1" applyBorder="1"/>
    <xf numFmtId="0" fontId="13" fillId="2" borderId="22" xfId="3" applyFont="1" applyFill="1" applyBorder="1"/>
    <xf numFmtId="0" fontId="13" fillId="2" borderId="23" xfId="3" applyFont="1" applyFill="1" applyBorder="1"/>
    <xf numFmtId="2" fontId="13" fillId="3" borderId="19" xfId="3" applyNumberFormat="1" applyFont="1" applyFill="1" applyBorder="1"/>
    <xf numFmtId="0" fontId="13" fillId="3" borderId="0" xfId="3" applyFont="1" applyFill="1"/>
    <xf numFmtId="0" fontId="13" fillId="3" borderId="20" xfId="3" applyFont="1" applyFill="1" applyBorder="1" applyAlignment="1">
      <alignment horizontal="center"/>
    </xf>
    <xf numFmtId="43" fontId="4" fillId="2" borderId="0" xfId="1" applyFont="1" applyFill="1" applyBorder="1" applyAlignment="1">
      <alignment horizontal="right"/>
    </xf>
    <xf numFmtId="43" fontId="4" fillId="2" borderId="2" xfId="1" applyFont="1" applyFill="1" applyBorder="1" applyAlignment="1">
      <alignment horizontal="right"/>
    </xf>
    <xf numFmtId="43" fontId="7" fillId="2" borderId="2" xfId="1" applyFont="1" applyFill="1" applyBorder="1" applyAlignment="1">
      <alignment horizontal="right"/>
    </xf>
    <xf numFmtId="43" fontId="4" fillId="2" borderId="2" xfId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 vertical="center"/>
    </xf>
    <xf numFmtId="43" fontId="0" fillId="0" borderId="0" xfId="0" applyNumberFormat="1"/>
    <xf numFmtId="4" fontId="14" fillId="2" borderId="0" xfId="3" applyNumberFormat="1" applyFont="1" applyFill="1" applyAlignment="1">
      <alignment horizontal="center"/>
    </xf>
    <xf numFmtId="0" fontId="3" fillId="0" borderId="0" xfId="0" applyFont="1"/>
    <xf numFmtId="43" fontId="3" fillId="0" borderId="0" xfId="1" applyFont="1"/>
    <xf numFmtId="43" fontId="3" fillId="0" borderId="0" xfId="0" applyNumberFormat="1" applyFont="1"/>
    <xf numFmtId="167" fontId="0" fillId="0" borderId="0" xfId="0" applyNumberFormat="1"/>
    <xf numFmtId="9" fontId="0" fillId="0" borderId="0" xfId="2" applyFont="1"/>
    <xf numFmtId="0" fontId="13" fillId="3" borderId="19" xfId="3" applyFont="1" applyFill="1" applyBorder="1"/>
    <xf numFmtId="0" fontId="13" fillId="3" borderId="22" xfId="3" applyFont="1" applyFill="1" applyBorder="1"/>
    <xf numFmtId="0" fontId="13" fillId="3" borderId="23" xfId="3" applyFont="1" applyFill="1" applyBorder="1"/>
    <xf numFmtId="0" fontId="13" fillId="3" borderId="24" xfId="3" applyFont="1" applyFill="1" applyBorder="1" applyAlignment="1">
      <alignment horizontal="center"/>
    </xf>
    <xf numFmtId="4" fontId="4" fillId="2" borderId="0" xfId="0" applyNumberFormat="1" applyFont="1" applyFill="1" applyAlignment="1">
      <alignment horizontal="right" vertical="center"/>
    </xf>
    <xf numFmtId="167" fontId="2" fillId="5" borderId="1" xfId="1" applyNumberFormat="1" applyFont="1" applyFill="1" applyBorder="1"/>
    <xf numFmtId="0" fontId="0" fillId="5" borderId="0" xfId="0" applyFill="1"/>
    <xf numFmtId="43" fontId="2" fillId="5" borderId="1" xfId="1" applyFont="1" applyFill="1" applyBorder="1"/>
    <xf numFmtId="4" fontId="13" fillId="2" borderId="13" xfId="3" applyNumberFormat="1" applyFont="1" applyFill="1" applyBorder="1" applyAlignment="1">
      <alignment horizontal="center"/>
    </xf>
    <xf numFmtId="2" fontId="13" fillId="2" borderId="0" xfId="3" applyNumberFormat="1" applyFont="1" applyFill="1"/>
    <xf numFmtId="0" fontId="7" fillId="2" borderId="12" xfId="0" applyFont="1" applyFill="1" applyBorder="1" applyAlignment="1">
      <alignment horizontal="center" vertical="center"/>
    </xf>
    <xf numFmtId="0" fontId="13" fillId="2" borderId="25" xfId="3" applyFont="1" applyFill="1" applyBorder="1" applyAlignment="1">
      <alignment horizontal="center"/>
    </xf>
    <xf numFmtId="0" fontId="13" fillId="2" borderId="26" xfId="3" applyFont="1" applyFill="1" applyBorder="1"/>
    <xf numFmtId="0" fontId="13" fillId="2" borderId="27" xfId="3" applyFont="1" applyFill="1" applyBorder="1"/>
    <xf numFmtId="0" fontId="13" fillId="3" borderId="27" xfId="3" applyFont="1" applyFill="1" applyBorder="1"/>
    <xf numFmtId="2" fontId="13" fillId="2" borderId="22" xfId="3" applyNumberFormat="1" applyFont="1" applyFill="1" applyBorder="1"/>
    <xf numFmtId="0" fontId="13" fillId="2" borderId="28" xfId="3" applyFont="1" applyFill="1" applyBorder="1"/>
    <xf numFmtId="167" fontId="15" fillId="6" borderId="1" xfId="1" applyNumberFormat="1" applyFont="1" applyFill="1" applyBorder="1"/>
    <xf numFmtId="0" fontId="15" fillId="6" borderId="0" xfId="0" applyFont="1" applyFill="1"/>
    <xf numFmtId="10" fontId="3" fillId="0" borderId="0" xfId="0" applyNumberFormat="1" applyFont="1"/>
    <xf numFmtId="0" fontId="10" fillId="5" borderId="14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/>
    </xf>
    <xf numFmtId="0" fontId="16" fillId="6" borderId="14" xfId="0" applyFont="1" applyFill="1" applyBorder="1" applyAlignment="1">
      <alignment horizontal="center"/>
    </xf>
    <xf numFmtId="0" fontId="16" fillId="6" borderId="1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 vertical="center"/>
    </xf>
    <xf numFmtId="0" fontId="8" fillId="2" borderId="8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right" vertical="center"/>
    </xf>
    <xf numFmtId="0" fontId="8" fillId="2" borderId="9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4" fillId="2" borderId="30" xfId="0" applyFont="1" applyFill="1" applyBorder="1" applyAlignment="1">
      <alignment horizontal="center" vertical="center"/>
    </xf>
    <xf numFmtId="3" fontId="4" fillId="2" borderId="30" xfId="0" applyNumberFormat="1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168" fontId="0" fillId="0" borderId="29" xfId="1" applyNumberFormat="1" applyFont="1" applyBorder="1"/>
  </cellXfs>
  <cellStyles count="4">
    <cellStyle name="Millares" xfId="1" builtinId="3"/>
    <cellStyle name="Normal" xfId="0" builtinId="0"/>
    <cellStyle name="Normal 37" xfId="3" xr:uid="{34B8EA8B-F154-47ED-9816-3F303EE2DC2F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22860</xdr:rowOff>
    </xdr:from>
    <xdr:to>
      <xdr:col>4</xdr:col>
      <xdr:colOff>266700</xdr:colOff>
      <xdr:row>3</xdr:row>
      <xdr:rowOff>167640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BD9F859-B30A-523F-EDE1-015580B5797C}"/>
            </a:ext>
          </a:extLst>
        </xdr:cNvPr>
        <xdr:cNvSpPr/>
      </xdr:nvSpPr>
      <xdr:spPr>
        <a:xfrm>
          <a:off x="1478280" y="205740"/>
          <a:ext cx="1470660" cy="51054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2</xdr:col>
      <xdr:colOff>365760</xdr:colOff>
      <xdr:row>5</xdr:row>
      <xdr:rowOff>7620</xdr:rowOff>
    </xdr:from>
    <xdr:to>
      <xdr:col>4</xdr:col>
      <xdr:colOff>251460</xdr:colOff>
      <xdr:row>7</xdr:row>
      <xdr:rowOff>152400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5900723-A041-459E-9F6E-2C3D16C36092}"/>
            </a:ext>
          </a:extLst>
        </xdr:cNvPr>
        <xdr:cNvSpPr/>
      </xdr:nvSpPr>
      <xdr:spPr>
        <a:xfrm>
          <a:off x="1463040" y="922020"/>
          <a:ext cx="1470660" cy="51054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oneCell">
    <xdr:from>
      <xdr:col>2</xdr:col>
      <xdr:colOff>281941</xdr:colOff>
      <xdr:row>9</xdr:row>
      <xdr:rowOff>30480</xdr:rowOff>
    </xdr:from>
    <xdr:to>
      <xdr:col>8</xdr:col>
      <xdr:colOff>510541</xdr:colOff>
      <xdr:row>27</xdr:row>
      <xdr:rowOff>69759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ACE96B-F1E1-1EE8-A8D7-08432D4A8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9221" y="1676400"/>
          <a:ext cx="4983480" cy="3331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F42B-4111-4A0A-9C85-B5D98C2A7A3B}">
  <dimension ref="B2:F10"/>
  <sheetViews>
    <sheetView showGridLines="0" workbookViewId="0">
      <selection activeCell="J28" sqref="J28"/>
    </sheetView>
  </sheetViews>
  <sheetFormatPr baseColWidth="10" defaultRowHeight="14.4"/>
  <cols>
    <col min="1" max="1" width="4.44140625" customWidth="1"/>
  </cols>
  <sheetData>
    <row r="2" spans="2:6">
      <c r="F2" s="1" t="s">
        <v>3</v>
      </c>
    </row>
    <row r="3" spans="2:6">
      <c r="B3" s="1" t="s">
        <v>0</v>
      </c>
    </row>
    <row r="6" spans="2:6">
      <c r="B6" s="1" t="s">
        <v>1</v>
      </c>
    </row>
    <row r="10" spans="2:6">
      <c r="B10" s="1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CBA4-0BE1-4CF9-B745-5A7E942093A6}">
  <dimension ref="B2:J59"/>
  <sheetViews>
    <sheetView showGridLines="0" tabSelected="1" workbookViewId="0">
      <selection activeCell="D1" sqref="D1:D1048576"/>
    </sheetView>
  </sheetViews>
  <sheetFormatPr baseColWidth="10" defaultRowHeight="14.4"/>
  <cols>
    <col min="3" max="3" width="14" bestFit="1" customWidth="1"/>
    <col min="4" max="4" width="72.5546875" bestFit="1" customWidth="1"/>
    <col min="9" max="9" width="16.6640625" bestFit="1" customWidth="1"/>
    <col min="10" max="10" width="16.33203125" bestFit="1" customWidth="1"/>
  </cols>
  <sheetData>
    <row r="2" spans="2:10" ht="21">
      <c r="C2" s="2" t="s">
        <v>4</v>
      </c>
      <c r="D2" s="3" t="s">
        <v>5</v>
      </c>
    </row>
    <row r="3" spans="2:10" ht="21">
      <c r="C3" s="2" t="s">
        <v>6</v>
      </c>
      <c r="D3" s="4">
        <v>191</v>
      </c>
    </row>
    <row r="4" spans="2:10" ht="17.399999999999999">
      <c r="C4" s="2" t="s">
        <v>7</v>
      </c>
      <c r="D4" s="5">
        <f ca="1">+TODAY()</f>
        <v>46164</v>
      </c>
    </row>
    <row r="5" spans="2:10">
      <c r="C5" s="2" t="s">
        <v>8</v>
      </c>
      <c r="D5" s="6">
        <v>6.96</v>
      </c>
    </row>
    <row r="6" spans="2:10">
      <c r="C6" s="2" t="s">
        <v>9</v>
      </c>
      <c r="D6" s="7" t="s">
        <v>10</v>
      </c>
    </row>
    <row r="8" spans="2:10" ht="15" thickBot="1"/>
    <row r="9" spans="2:10" ht="28.2" thickBot="1">
      <c r="B9" s="8" t="s">
        <v>11</v>
      </c>
      <c r="C9" s="8" t="s">
        <v>73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</row>
    <row r="10" spans="2:10">
      <c r="B10" s="9"/>
      <c r="C10" s="9"/>
      <c r="D10" s="9"/>
      <c r="E10" s="9"/>
      <c r="F10" s="10"/>
      <c r="G10" s="10"/>
      <c r="H10" s="10"/>
      <c r="I10" s="9"/>
      <c r="J10" s="9"/>
    </row>
    <row r="11" spans="2:10">
      <c r="B11" s="11">
        <v>1</v>
      </c>
      <c r="C11" s="11" t="s">
        <v>74</v>
      </c>
      <c r="D11" s="12" t="s">
        <v>30</v>
      </c>
      <c r="E11" s="94" t="s">
        <v>31</v>
      </c>
      <c r="F11" s="97">
        <v>14.46787356321839</v>
      </c>
      <c r="G11" s="97">
        <v>100.6964</v>
      </c>
      <c r="H11" s="97">
        <v>0.04</v>
      </c>
      <c r="I11" s="97">
        <v>14.46787356321839</v>
      </c>
      <c r="J11" s="97">
        <v>100.6964</v>
      </c>
    </row>
    <row r="12" spans="2:10">
      <c r="B12" s="11">
        <v>2</v>
      </c>
      <c r="C12" s="11" t="s">
        <v>74</v>
      </c>
      <c r="D12" s="12" t="s">
        <v>32</v>
      </c>
      <c r="E12" s="94" t="s">
        <v>33</v>
      </c>
      <c r="F12" s="97">
        <v>0.19264367816091954</v>
      </c>
      <c r="G12" s="97">
        <v>1.3408000000000002</v>
      </c>
      <c r="H12" s="97">
        <v>3.8160000000000003</v>
      </c>
      <c r="I12" s="97">
        <v>18.378206896551728</v>
      </c>
      <c r="J12" s="97">
        <v>127.91232000000002</v>
      </c>
    </row>
    <row r="13" spans="2:10">
      <c r="B13" s="11">
        <v>3</v>
      </c>
      <c r="C13" s="11" t="s">
        <v>74</v>
      </c>
      <c r="D13" s="12" t="s">
        <v>34</v>
      </c>
      <c r="E13" s="94" t="s">
        <v>33</v>
      </c>
      <c r="F13" s="97">
        <v>5.1551724137931042E-2</v>
      </c>
      <c r="G13" s="97">
        <v>0.35880000000000001</v>
      </c>
      <c r="H13" s="97">
        <v>3.8160000000000003</v>
      </c>
      <c r="I13" s="97">
        <v>4.9180344827586211</v>
      </c>
      <c r="J13" s="97">
        <v>34.229520000000008</v>
      </c>
    </row>
    <row r="14" spans="2:10">
      <c r="B14" s="11">
        <v>4</v>
      </c>
      <c r="C14" s="11" t="s">
        <v>74</v>
      </c>
      <c r="D14" s="12" t="s">
        <v>35</v>
      </c>
      <c r="E14" s="94" t="s">
        <v>36</v>
      </c>
      <c r="F14" s="97">
        <v>19.670574712643678</v>
      </c>
      <c r="G14" s="97">
        <v>136.90719999999999</v>
      </c>
      <c r="H14" s="97">
        <v>0.50039999999999996</v>
      </c>
      <c r="I14" s="97">
        <v>246.07888965517239</v>
      </c>
      <c r="J14" s="97">
        <v>1712.7090719999999</v>
      </c>
    </row>
    <row r="15" spans="2:10">
      <c r="B15" s="11">
        <v>5</v>
      </c>
      <c r="C15" s="11" t="s">
        <v>75</v>
      </c>
      <c r="D15" s="12" t="s">
        <v>37</v>
      </c>
      <c r="E15" s="95" t="s">
        <v>36</v>
      </c>
      <c r="F15" s="97">
        <v>15.385459770114943</v>
      </c>
      <c r="G15" s="97">
        <v>107.08280000000001</v>
      </c>
      <c r="H15" s="97">
        <v>2.7119999999999997</v>
      </c>
      <c r="I15" s="97">
        <v>1043.1341724137931</v>
      </c>
      <c r="J15" s="97">
        <v>7260.2138399999994</v>
      </c>
    </row>
    <row r="16" spans="2:10">
      <c r="B16" s="11">
        <v>6</v>
      </c>
      <c r="C16" s="11" t="s">
        <v>75</v>
      </c>
      <c r="D16" s="12" t="s">
        <v>38</v>
      </c>
      <c r="E16" s="94" t="s">
        <v>36</v>
      </c>
      <c r="F16" s="97">
        <v>22.66442528735632</v>
      </c>
      <c r="G16" s="97">
        <v>157.74439999999998</v>
      </c>
      <c r="H16" s="97">
        <v>0.19500000000000001</v>
      </c>
      <c r="I16" s="97">
        <v>110.48907327586207</v>
      </c>
      <c r="J16" s="97">
        <v>769.00395000000003</v>
      </c>
    </row>
    <row r="17" spans="2:10">
      <c r="B17" s="11">
        <v>7</v>
      </c>
      <c r="C17" s="11" t="s">
        <v>75</v>
      </c>
      <c r="D17" s="12" t="s">
        <v>39</v>
      </c>
      <c r="E17" s="94" t="s">
        <v>36</v>
      </c>
      <c r="F17" s="97">
        <v>19.670574712643678</v>
      </c>
      <c r="G17" s="97">
        <v>136.90719999999999</v>
      </c>
      <c r="H17" s="97">
        <v>0.30779999999999996</v>
      </c>
      <c r="I17" s="97">
        <v>151.36507241379309</v>
      </c>
      <c r="J17" s="97">
        <v>1053.5009039999998</v>
      </c>
    </row>
    <row r="18" spans="2:10">
      <c r="B18" s="11">
        <v>8</v>
      </c>
      <c r="C18" s="11" t="s">
        <v>75</v>
      </c>
      <c r="D18" s="12" t="s">
        <v>40</v>
      </c>
      <c r="E18" s="94" t="s">
        <v>36</v>
      </c>
      <c r="F18" s="97">
        <v>5.3109770114942538</v>
      </c>
      <c r="G18" s="97">
        <v>36.964400000000005</v>
      </c>
      <c r="H18" s="97">
        <v>0.82079999999999997</v>
      </c>
      <c r="I18" s="97">
        <v>108.98124827586207</v>
      </c>
      <c r="J18" s="97">
        <v>758.50948800000003</v>
      </c>
    </row>
    <row r="19" spans="2:10">
      <c r="B19" s="11">
        <v>9</v>
      </c>
      <c r="C19" s="11" t="s">
        <v>76</v>
      </c>
      <c r="D19" s="26" t="s">
        <v>41</v>
      </c>
      <c r="E19" s="96" t="s">
        <v>33</v>
      </c>
      <c r="F19" s="97">
        <v>2.1739080459770115</v>
      </c>
      <c r="G19" s="97">
        <v>15.1304</v>
      </c>
      <c r="H19" s="97">
        <v>7.6320000000000006</v>
      </c>
      <c r="I19" s="97">
        <v>414.78165517241382</v>
      </c>
      <c r="J19" s="97">
        <v>2886.8803200000002</v>
      </c>
    </row>
    <row r="20" spans="2:10" s="27" customFormat="1">
      <c r="B20" s="11">
        <v>10</v>
      </c>
      <c r="C20" s="11" t="s">
        <v>76</v>
      </c>
      <c r="D20" s="12" t="s">
        <v>54</v>
      </c>
      <c r="E20" s="94" t="s">
        <v>55</v>
      </c>
      <c r="F20" s="97">
        <v>2.8579885057471266</v>
      </c>
      <c r="G20" s="97">
        <v>19.891600000000004</v>
      </c>
      <c r="H20" s="97">
        <v>0.32</v>
      </c>
      <c r="I20" s="97">
        <v>22.863908045977013</v>
      </c>
      <c r="J20" s="97">
        <v>159.13280000000003</v>
      </c>
    </row>
    <row r="21" spans="2:10" s="27" customFormat="1">
      <c r="B21" s="11">
        <v>11</v>
      </c>
      <c r="C21" s="11" t="s">
        <v>76</v>
      </c>
      <c r="D21" s="12" t="s">
        <v>56</v>
      </c>
      <c r="E21" s="94" t="s">
        <v>55</v>
      </c>
      <c r="F21" s="97">
        <v>2.8247701149425284</v>
      </c>
      <c r="G21" s="97">
        <v>19.660399999999996</v>
      </c>
      <c r="H21" s="97">
        <v>0.32</v>
      </c>
      <c r="I21" s="97">
        <v>22.598160919540227</v>
      </c>
      <c r="J21" s="97">
        <v>157.28319999999997</v>
      </c>
    </row>
    <row r="22" spans="2:10" s="27" customFormat="1">
      <c r="B22" s="11">
        <v>12</v>
      </c>
      <c r="C22" s="11" t="s">
        <v>76</v>
      </c>
      <c r="D22" s="12" t="s">
        <v>20</v>
      </c>
      <c r="E22" s="94" t="s">
        <v>33</v>
      </c>
      <c r="F22" s="97">
        <v>1.1585632183908046</v>
      </c>
      <c r="G22" s="97">
        <v>8.063600000000001</v>
      </c>
      <c r="H22" s="97">
        <v>6.032</v>
      </c>
      <c r="I22" s="97">
        <v>174.71133333333336</v>
      </c>
      <c r="J22" s="97">
        <v>1215.9908800000003</v>
      </c>
    </row>
    <row r="23" spans="2:10" s="27" customFormat="1">
      <c r="B23" s="11">
        <v>13</v>
      </c>
      <c r="C23" s="11" t="s">
        <v>76</v>
      </c>
      <c r="D23" s="12" t="s">
        <v>71</v>
      </c>
      <c r="E23" s="94" t="s">
        <v>33</v>
      </c>
      <c r="F23" s="97">
        <v>0.85327586206896555</v>
      </c>
      <c r="G23" s="97">
        <v>5.9387999999999996</v>
      </c>
      <c r="H23" s="97">
        <v>14.723999999999998</v>
      </c>
      <c r="I23" s="97">
        <v>314.09084482758618</v>
      </c>
      <c r="J23" s="97">
        <v>2186.0722799999999</v>
      </c>
    </row>
    <row r="24" spans="2:10" s="27" customFormat="1">
      <c r="B24" s="11">
        <v>14</v>
      </c>
      <c r="C24" s="11" t="s">
        <v>76</v>
      </c>
      <c r="D24" s="12" t="s">
        <v>72</v>
      </c>
      <c r="E24" s="94" t="s">
        <v>31</v>
      </c>
      <c r="F24" s="97">
        <v>12.607356321839079</v>
      </c>
      <c r="G24" s="97">
        <v>87.747199999999992</v>
      </c>
      <c r="H24" s="97">
        <v>0.04</v>
      </c>
      <c r="I24" s="97">
        <v>12.607356321839079</v>
      </c>
      <c r="J24" s="97">
        <v>87.747199999999992</v>
      </c>
    </row>
    <row r="25" spans="2:10">
      <c r="B25" s="11">
        <v>15</v>
      </c>
      <c r="C25" s="11" t="s">
        <v>77</v>
      </c>
      <c r="D25" s="12" t="s">
        <v>42</v>
      </c>
      <c r="E25" s="94" t="s">
        <v>33</v>
      </c>
      <c r="F25" s="97">
        <v>1.5844252873563218</v>
      </c>
      <c r="G25" s="97">
        <v>11.0276</v>
      </c>
      <c r="H25" s="97">
        <v>1.8</v>
      </c>
      <c r="I25" s="97">
        <v>71.29913793103448</v>
      </c>
      <c r="J25" s="97">
        <v>496.24199999999996</v>
      </c>
    </row>
    <row r="26" spans="2:10">
      <c r="B26" s="11">
        <v>16</v>
      </c>
      <c r="C26" s="11" t="s">
        <v>77</v>
      </c>
      <c r="D26" s="12" t="s">
        <v>43</v>
      </c>
      <c r="E26" s="94" t="s">
        <v>33</v>
      </c>
      <c r="F26" s="97">
        <v>7.9820000000000002</v>
      </c>
      <c r="G26" s="97">
        <v>55.554720000000003</v>
      </c>
      <c r="H26" s="97">
        <v>5.8320000000000007</v>
      </c>
      <c r="I26" s="97">
        <v>1163.7756000000002</v>
      </c>
      <c r="J26" s="97">
        <v>8099.8781760000011</v>
      </c>
    </row>
    <row r="27" spans="2:10">
      <c r="B27" s="11">
        <v>17</v>
      </c>
      <c r="C27" s="11" t="s">
        <v>77</v>
      </c>
      <c r="D27" s="12" t="s">
        <v>44</v>
      </c>
      <c r="E27" s="94" t="s">
        <v>45</v>
      </c>
      <c r="F27" s="97">
        <v>0.3796551724137931</v>
      </c>
      <c r="G27" s="97">
        <v>2.6424000000000003</v>
      </c>
      <c r="H27" s="97">
        <v>2.4544000000000001</v>
      </c>
      <c r="I27" s="97">
        <v>23.295641379310347</v>
      </c>
      <c r="J27" s="97">
        <v>162.137664</v>
      </c>
    </row>
    <row r="28" spans="2:10">
      <c r="B28" s="11">
        <v>18</v>
      </c>
      <c r="C28" s="11" t="s">
        <v>77</v>
      </c>
      <c r="D28" s="12" t="s">
        <v>46</v>
      </c>
      <c r="E28" s="94" t="s">
        <v>33</v>
      </c>
      <c r="F28" s="97">
        <v>1.6792528735632184</v>
      </c>
      <c r="G28" s="97">
        <v>11.6876</v>
      </c>
      <c r="H28" s="97">
        <v>0.96519999999999995</v>
      </c>
      <c r="I28" s="97">
        <v>40.520371839080461</v>
      </c>
      <c r="J28" s="97">
        <v>282.02178799999996</v>
      </c>
    </row>
    <row r="29" spans="2:10">
      <c r="B29" s="11">
        <v>19</v>
      </c>
      <c r="C29" s="11" t="s">
        <v>77</v>
      </c>
      <c r="D29" s="12" t="s">
        <v>47</v>
      </c>
      <c r="E29" s="94" t="s">
        <v>48</v>
      </c>
      <c r="F29" s="97">
        <v>9.6578160919540235</v>
      </c>
      <c r="G29" s="97">
        <v>67.218400000000003</v>
      </c>
      <c r="H29" s="97">
        <v>0.04</v>
      </c>
      <c r="I29" s="97">
        <v>9.6578160919540235</v>
      </c>
      <c r="J29" s="97">
        <v>67.218400000000003</v>
      </c>
    </row>
    <row r="30" spans="2:10">
      <c r="B30" s="11">
        <v>20</v>
      </c>
      <c r="C30" s="11" t="s">
        <v>77</v>
      </c>
      <c r="D30" s="12" t="s">
        <v>49</v>
      </c>
      <c r="E30" s="94" t="s">
        <v>48</v>
      </c>
      <c r="F30" s="97">
        <v>8.234137931034482</v>
      </c>
      <c r="G30" s="97">
        <v>57.309600000000003</v>
      </c>
      <c r="H30" s="97">
        <v>0.16</v>
      </c>
      <c r="I30" s="97">
        <v>32.936551724137928</v>
      </c>
      <c r="J30" s="97">
        <v>229.23840000000001</v>
      </c>
    </row>
    <row r="31" spans="2:10">
      <c r="B31" s="11">
        <v>21</v>
      </c>
      <c r="C31" s="11" t="s">
        <v>77</v>
      </c>
      <c r="D31" s="12" t="s">
        <v>50</v>
      </c>
      <c r="E31" s="94" t="s">
        <v>48</v>
      </c>
      <c r="F31" s="97">
        <v>7.8687356321839079</v>
      </c>
      <c r="G31" s="97">
        <v>54.766400000000004</v>
      </c>
      <c r="H31" s="97">
        <v>0.32</v>
      </c>
      <c r="I31" s="97">
        <v>62.949885057471263</v>
      </c>
      <c r="J31" s="97">
        <v>438.13120000000004</v>
      </c>
    </row>
    <row r="32" spans="2:10">
      <c r="B32" s="11">
        <v>22</v>
      </c>
      <c r="C32" s="11" t="s">
        <v>77</v>
      </c>
      <c r="D32" s="12" t="s">
        <v>51</v>
      </c>
      <c r="E32" s="94" t="s">
        <v>33</v>
      </c>
      <c r="F32" s="97">
        <v>3.1183333333333336</v>
      </c>
      <c r="G32" s="97">
        <v>21.703600000000002</v>
      </c>
      <c r="H32" s="97">
        <v>0.32</v>
      </c>
      <c r="I32" s="97">
        <v>24.946666666666669</v>
      </c>
      <c r="J32" s="97">
        <v>173.62880000000001</v>
      </c>
    </row>
    <row r="33" spans="2:10">
      <c r="B33" s="11">
        <v>23</v>
      </c>
      <c r="C33" s="11" t="s">
        <v>77</v>
      </c>
      <c r="D33" s="12" t="s">
        <v>52</v>
      </c>
      <c r="E33" s="94" t="s">
        <v>33</v>
      </c>
      <c r="F33" s="97">
        <v>0.14367816091954022</v>
      </c>
      <c r="G33" s="97">
        <v>1</v>
      </c>
      <c r="H33" s="97">
        <v>13.406399999999998</v>
      </c>
      <c r="I33" s="97">
        <v>48.155172413793096</v>
      </c>
      <c r="J33" s="97">
        <v>335.15999999999991</v>
      </c>
    </row>
    <row r="34" spans="2:10">
      <c r="B34" s="11">
        <v>24</v>
      </c>
      <c r="C34" s="11" t="s">
        <v>77</v>
      </c>
      <c r="D34" s="12" t="s">
        <v>53</v>
      </c>
      <c r="E34" s="94" t="s">
        <v>33</v>
      </c>
      <c r="F34" s="97">
        <v>0.18402298850574714</v>
      </c>
      <c r="G34" s="97">
        <v>1.2808000000000002</v>
      </c>
      <c r="H34" s="97">
        <v>8.9600000000000009</v>
      </c>
      <c r="I34" s="97">
        <v>41.221149425287358</v>
      </c>
      <c r="J34" s="97">
        <v>286.89920000000001</v>
      </c>
    </row>
    <row r="35" spans="2:10">
      <c r="B35" s="11">
        <v>25</v>
      </c>
      <c r="C35" s="11" t="s">
        <v>77</v>
      </c>
      <c r="D35" s="12" t="s">
        <v>57</v>
      </c>
      <c r="E35" s="94" t="s">
        <v>48</v>
      </c>
      <c r="F35" s="97">
        <v>4.9058045977011497</v>
      </c>
      <c r="G35" s="97">
        <v>34.144399999999997</v>
      </c>
      <c r="H35" s="97">
        <v>0.12</v>
      </c>
      <c r="I35" s="97">
        <v>14.717413793103448</v>
      </c>
      <c r="J35" s="97">
        <v>102.4332</v>
      </c>
    </row>
    <row r="36" spans="2:10">
      <c r="B36" s="11">
        <v>26</v>
      </c>
      <c r="C36" s="11" t="s">
        <v>77</v>
      </c>
      <c r="D36" s="12" t="s">
        <v>58</v>
      </c>
      <c r="E36" s="94" t="s">
        <v>48</v>
      </c>
      <c r="F36" s="97">
        <v>6.2767241379310352</v>
      </c>
      <c r="G36" s="97">
        <v>43.686000000000007</v>
      </c>
      <c r="H36" s="97">
        <v>0.16</v>
      </c>
      <c r="I36" s="97">
        <v>25.106896551724141</v>
      </c>
      <c r="J36" s="97">
        <v>174.74400000000003</v>
      </c>
    </row>
    <row r="37" spans="2:10">
      <c r="B37" s="11">
        <v>27</v>
      </c>
      <c r="C37" s="11" t="s">
        <v>77</v>
      </c>
      <c r="D37" s="12" t="s">
        <v>19</v>
      </c>
      <c r="E37" s="94" t="s">
        <v>48</v>
      </c>
      <c r="F37" s="97">
        <v>6.158563218390805</v>
      </c>
      <c r="G37" s="97">
        <v>42.863599999999998</v>
      </c>
      <c r="H37" s="97">
        <v>0.16</v>
      </c>
      <c r="I37" s="97">
        <v>24.63425287356322</v>
      </c>
      <c r="J37" s="97">
        <v>171.45439999999999</v>
      </c>
    </row>
    <row r="38" spans="2:10">
      <c r="B38" s="11">
        <v>28</v>
      </c>
      <c r="C38" s="11" t="s">
        <v>77</v>
      </c>
      <c r="D38" s="12" t="s">
        <v>59</v>
      </c>
      <c r="E38" s="94" t="s">
        <v>48</v>
      </c>
      <c r="F38" s="97">
        <v>6.3241954022988516</v>
      </c>
      <c r="G38" s="97">
        <v>44.016400000000004</v>
      </c>
      <c r="H38" s="97">
        <v>0.04</v>
      </c>
      <c r="I38" s="97">
        <v>6.3241954022988516</v>
      </c>
      <c r="J38" s="97">
        <v>44.016400000000004</v>
      </c>
    </row>
    <row r="39" spans="2:10">
      <c r="B39" s="11">
        <v>29</v>
      </c>
      <c r="C39" s="11" t="s">
        <v>77</v>
      </c>
      <c r="D39" s="12" t="s">
        <v>60</v>
      </c>
      <c r="E39" s="94" t="s">
        <v>48</v>
      </c>
      <c r="F39" s="97">
        <v>4.605804597701149</v>
      </c>
      <c r="G39" s="97">
        <v>32.056399999999996</v>
      </c>
      <c r="H39" s="97">
        <v>0.04</v>
      </c>
      <c r="I39" s="97">
        <v>4.605804597701149</v>
      </c>
      <c r="J39" s="97">
        <v>32.056399999999996</v>
      </c>
    </row>
    <row r="40" spans="2:10">
      <c r="B40" s="11">
        <v>30</v>
      </c>
      <c r="C40" s="11" t="s">
        <v>77</v>
      </c>
      <c r="D40" s="12" t="s">
        <v>61</v>
      </c>
      <c r="E40" s="94" t="s">
        <v>33</v>
      </c>
      <c r="F40" s="97">
        <v>2.0137356321839079</v>
      </c>
      <c r="G40" s="97">
        <v>14.015599999999999</v>
      </c>
      <c r="H40" s="97">
        <v>9.8000000000000004E-2</v>
      </c>
      <c r="I40" s="97">
        <v>4.9336522988505749</v>
      </c>
      <c r="J40" s="97">
        <v>34.33822</v>
      </c>
    </row>
    <row r="41" spans="2:10">
      <c r="B41" s="11">
        <v>31</v>
      </c>
      <c r="C41" s="11" t="s">
        <v>77</v>
      </c>
      <c r="D41" s="12" t="s">
        <v>62</v>
      </c>
      <c r="E41" s="94" t="s">
        <v>48</v>
      </c>
      <c r="F41" s="97">
        <v>5.692183908045978</v>
      </c>
      <c r="G41" s="97">
        <v>39.61760000000001</v>
      </c>
      <c r="H41" s="97">
        <v>0.12</v>
      </c>
      <c r="I41" s="97">
        <v>17.076551724137936</v>
      </c>
      <c r="J41" s="97">
        <v>118.85280000000003</v>
      </c>
    </row>
    <row r="42" spans="2:10">
      <c r="B42" s="11">
        <v>32</v>
      </c>
      <c r="C42" s="11" t="s">
        <v>77</v>
      </c>
      <c r="D42" s="12" t="s">
        <v>63</v>
      </c>
      <c r="E42" s="94" t="s">
        <v>48</v>
      </c>
      <c r="F42" s="97">
        <v>1.7767241379310343</v>
      </c>
      <c r="G42" s="97">
        <v>12.366</v>
      </c>
      <c r="H42" s="97">
        <v>0.12</v>
      </c>
      <c r="I42" s="97">
        <v>5.3301724137931021</v>
      </c>
      <c r="J42" s="97">
        <v>37.097999999999992</v>
      </c>
    </row>
    <row r="43" spans="2:10">
      <c r="B43" s="11">
        <v>33</v>
      </c>
      <c r="C43" s="11" t="s">
        <v>77</v>
      </c>
      <c r="D43" s="12" t="s">
        <v>64</v>
      </c>
      <c r="E43" s="94" t="s">
        <v>31</v>
      </c>
      <c r="F43" s="97">
        <v>22.588908045977011</v>
      </c>
      <c r="G43" s="97">
        <v>157.21879999999999</v>
      </c>
      <c r="H43" s="97">
        <v>0.08</v>
      </c>
      <c r="I43" s="97">
        <v>45.177816091954021</v>
      </c>
      <c r="J43" s="97">
        <v>314.43759999999997</v>
      </c>
    </row>
    <row r="44" spans="2:10">
      <c r="B44" s="11">
        <v>34</v>
      </c>
      <c r="C44" s="11" t="s">
        <v>77</v>
      </c>
      <c r="D44" s="12" t="s">
        <v>65</v>
      </c>
      <c r="E44" s="94" t="s">
        <v>55</v>
      </c>
      <c r="F44" s="97">
        <v>0.71477011494252873</v>
      </c>
      <c r="G44" s="97">
        <v>4.9748000000000001</v>
      </c>
      <c r="H44" s="97">
        <v>0.48</v>
      </c>
      <c r="I44" s="97">
        <v>8.5772413793103457</v>
      </c>
      <c r="J44" s="97">
        <v>59.697600000000001</v>
      </c>
    </row>
    <row r="45" spans="2:10">
      <c r="B45" s="11">
        <v>35</v>
      </c>
      <c r="C45" s="11" t="s">
        <v>77</v>
      </c>
      <c r="D45" s="12" t="s">
        <v>66</v>
      </c>
      <c r="E45" s="94" t="s">
        <v>55</v>
      </c>
      <c r="F45" s="97">
        <v>0.65545977011494261</v>
      </c>
      <c r="G45" s="97">
        <v>4.5620000000000003</v>
      </c>
      <c r="H45" s="97">
        <v>0.6</v>
      </c>
      <c r="I45" s="97">
        <v>9.8318965517241388</v>
      </c>
      <c r="J45" s="97">
        <v>68.430000000000007</v>
      </c>
    </row>
    <row r="46" spans="2:10">
      <c r="B46" s="11">
        <v>36</v>
      </c>
      <c r="C46" s="11" t="s">
        <v>77</v>
      </c>
      <c r="D46" s="12" t="s">
        <v>67</v>
      </c>
      <c r="E46" s="94" t="s">
        <v>55</v>
      </c>
      <c r="F46" s="97">
        <v>0.43465517241379309</v>
      </c>
      <c r="G46" s="97">
        <v>3.0251999999999999</v>
      </c>
      <c r="H46" s="97">
        <v>0.48</v>
      </c>
      <c r="I46" s="97">
        <v>5.2158620689655173</v>
      </c>
      <c r="J46" s="97">
        <v>36.302400000000006</v>
      </c>
    </row>
    <row r="47" spans="2:10">
      <c r="B47" s="11">
        <v>37</v>
      </c>
      <c r="C47" s="11" t="s">
        <v>77</v>
      </c>
      <c r="D47" s="12" t="s">
        <v>68</v>
      </c>
      <c r="E47" s="94" t="s">
        <v>55</v>
      </c>
      <c r="F47" s="97">
        <v>1.3964367816091954</v>
      </c>
      <c r="G47" s="97">
        <v>9.719199999999999</v>
      </c>
      <c r="H47" s="97">
        <v>0.08</v>
      </c>
      <c r="I47" s="97">
        <v>2.7928735632183908</v>
      </c>
      <c r="J47" s="97">
        <v>19.438399999999998</v>
      </c>
    </row>
    <row r="48" spans="2:10">
      <c r="B48" s="11">
        <v>38</v>
      </c>
      <c r="C48" s="11" t="s">
        <v>77</v>
      </c>
      <c r="D48" s="12" t="s">
        <v>69</v>
      </c>
      <c r="E48" s="94" t="s">
        <v>55</v>
      </c>
      <c r="F48" s="97">
        <v>0.85655172413793101</v>
      </c>
      <c r="G48" s="97">
        <v>5.9615999999999998</v>
      </c>
      <c r="H48" s="97">
        <v>0.24</v>
      </c>
      <c r="I48" s="97">
        <v>5.1393103448275861</v>
      </c>
      <c r="J48" s="97">
        <v>35.769599999999997</v>
      </c>
    </row>
    <row r="49" spans="2:10">
      <c r="B49" s="11">
        <v>39</v>
      </c>
      <c r="C49" s="11" t="s">
        <v>77</v>
      </c>
      <c r="D49" s="12" t="s">
        <v>70</v>
      </c>
      <c r="E49" s="94" t="s">
        <v>55</v>
      </c>
      <c r="F49" s="97">
        <v>1.6556896551724136</v>
      </c>
      <c r="G49" s="97">
        <v>11.523599999999998</v>
      </c>
      <c r="H49" s="97">
        <v>0.16</v>
      </c>
      <c r="I49" s="97">
        <v>6.6227586206896545</v>
      </c>
      <c r="J49" s="97">
        <v>46.094399999999993</v>
      </c>
    </row>
    <row r="50" spans="2:10">
      <c r="B50" s="11">
        <v>40</v>
      </c>
      <c r="C50" s="11" t="s">
        <v>77</v>
      </c>
      <c r="D50" s="12" t="s">
        <v>21</v>
      </c>
      <c r="E50" s="94" t="s">
        <v>6</v>
      </c>
      <c r="F50" s="97">
        <v>0.53017241379310343</v>
      </c>
      <c r="G50" s="97">
        <v>3.69</v>
      </c>
      <c r="H50" s="97">
        <v>13.406399999999998</v>
      </c>
      <c r="I50" s="97">
        <v>177.69258620689652</v>
      </c>
      <c r="J50" s="97">
        <v>1236.7403999999997</v>
      </c>
    </row>
    <row r="51" spans="2:10">
      <c r="B51" s="11">
        <v>41</v>
      </c>
      <c r="C51" s="11" t="s">
        <v>77</v>
      </c>
      <c r="D51" s="12" t="s">
        <v>22</v>
      </c>
      <c r="E51" s="94" t="s">
        <v>33</v>
      </c>
      <c r="F51" s="97">
        <v>3.6364000000000001</v>
      </c>
      <c r="G51" s="97">
        <v>25.309343999999999</v>
      </c>
      <c r="H51" s="97">
        <v>8.9600000000000009</v>
      </c>
      <c r="I51" s="97">
        <v>814.55359999999996</v>
      </c>
      <c r="J51" s="97">
        <v>5669.2930559999995</v>
      </c>
    </row>
    <row r="52" spans="2:10">
      <c r="B52" s="11">
        <v>42</v>
      </c>
      <c r="C52" s="11" t="s">
        <v>77</v>
      </c>
      <c r="D52" s="12" t="s">
        <v>23</v>
      </c>
      <c r="E52" s="94" t="s">
        <v>33</v>
      </c>
      <c r="F52" s="97">
        <v>0.86373563218390803</v>
      </c>
      <c r="G52" s="97">
        <v>6.0115999999999996</v>
      </c>
      <c r="H52" s="97">
        <v>1.28</v>
      </c>
      <c r="I52" s="97">
        <v>27.639540229885057</v>
      </c>
      <c r="J52" s="97">
        <v>192.37119999999999</v>
      </c>
    </row>
    <row r="53" spans="2:10" ht="15" thickBot="1">
      <c r="C53" s="2"/>
      <c r="D53" s="7"/>
      <c r="E53" s="2"/>
      <c r="F53" s="19"/>
      <c r="G53" s="19"/>
      <c r="H53" s="19"/>
      <c r="I53" s="7"/>
      <c r="J53" s="7"/>
    </row>
    <row r="54" spans="2:10" ht="15.6">
      <c r="C54" s="88" t="s">
        <v>24</v>
      </c>
      <c r="D54" s="89"/>
      <c r="E54" s="89"/>
      <c r="F54" s="89"/>
      <c r="G54" s="89"/>
      <c r="H54" s="90"/>
      <c r="I54" s="20">
        <v>134604.90617097702</v>
      </c>
      <c r="J54" s="21">
        <v>936850.14694999973</v>
      </c>
    </row>
    <row r="55" spans="2:10" ht="16.2" thickBot="1">
      <c r="C55" s="85" t="s">
        <v>25</v>
      </c>
      <c r="D55" s="86"/>
      <c r="E55" s="86"/>
      <c r="F55" s="86"/>
      <c r="G55" s="86"/>
      <c r="H55" s="87"/>
      <c r="I55" s="22">
        <v>704.73772864385876</v>
      </c>
      <c r="J55" s="23">
        <v>4904.9745913612551</v>
      </c>
    </row>
    <row r="56" spans="2:10" ht="16.2" thickBot="1">
      <c r="C56" s="85" t="s">
        <v>26</v>
      </c>
      <c r="D56" s="86"/>
      <c r="E56" s="86"/>
      <c r="F56" s="86"/>
      <c r="G56" s="86"/>
      <c r="H56" s="87"/>
      <c r="I56" s="22"/>
      <c r="J56" s="24">
        <v>50973.445999999996</v>
      </c>
    </row>
    <row r="57" spans="2:10" ht="16.2" thickBot="1">
      <c r="C57" s="91" t="s">
        <v>27</v>
      </c>
      <c r="D57" s="92"/>
      <c r="E57" s="92"/>
      <c r="F57" s="92"/>
      <c r="G57" s="92"/>
      <c r="H57" s="93"/>
      <c r="I57" s="22"/>
      <c r="J57" s="24">
        <v>81</v>
      </c>
    </row>
    <row r="58" spans="2:10" ht="16.2" thickBot="1">
      <c r="C58" s="85" t="s">
        <v>28</v>
      </c>
      <c r="D58" s="86"/>
      <c r="E58" s="86"/>
      <c r="F58" s="86"/>
      <c r="G58" s="86"/>
      <c r="H58" s="87"/>
      <c r="I58" s="22"/>
      <c r="J58" s="24">
        <v>82576.98251999999</v>
      </c>
    </row>
    <row r="59" spans="2:10" ht="16.2" thickBot="1">
      <c r="C59" s="85" t="s">
        <v>29</v>
      </c>
      <c r="D59" s="86"/>
      <c r="E59" s="86"/>
      <c r="F59" s="86"/>
      <c r="G59" s="86"/>
      <c r="H59" s="87"/>
      <c r="I59" s="22"/>
      <c r="J59" s="25">
        <v>8.8143213499871684E-2</v>
      </c>
    </row>
  </sheetData>
  <mergeCells count="6">
    <mergeCell ref="C59:H59"/>
    <mergeCell ref="C54:H54"/>
    <mergeCell ref="C55:H55"/>
    <mergeCell ref="C56:H56"/>
    <mergeCell ref="C57:H57"/>
    <mergeCell ref="C58:H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B705-5911-4D36-BDE9-2F44FAD50277}">
  <dimension ref="A1:J134"/>
  <sheetViews>
    <sheetView showGridLines="0" workbookViewId="0">
      <selection activeCell="J6" sqref="J6"/>
    </sheetView>
  </sheetViews>
  <sheetFormatPr baseColWidth="10" defaultRowHeight="14.4" outlineLevelRow="1"/>
  <cols>
    <col min="2" max="2" width="6.77734375" bestFit="1" customWidth="1"/>
    <col min="3" max="3" width="72.5546875" bestFit="1" customWidth="1"/>
    <col min="6" max="6" width="13.109375" bestFit="1" customWidth="1"/>
    <col min="7" max="7" width="2.5546875" customWidth="1"/>
    <col min="8" max="8" width="13.109375" bestFit="1" customWidth="1"/>
  </cols>
  <sheetData>
    <row r="1" spans="1:8" ht="15" thickBot="1"/>
    <row r="2" spans="1:8" ht="28.2" thickBot="1">
      <c r="B2" s="8" t="s">
        <v>73</v>
      </c>
      <c r="C2" s="8" t="s">
        <v>12</v>
      </c>
      <c r="D2" s="8" t="s">
        <v>13</v>
      </c>
      <c r="E2" s="8" t="s">
        <v>14</v>
      </c>
      <c r="F2" s="8" t="s">
        <v>16</v>
      </c>
      <c r="H2" s="8" t="s">
        <v>83</v>
      </c>
    </row>
    <row r="3" spans="1:8">
      <c r="B3" s="11">
        <v>1</v>
      </c>
      <c r="C3" s="12" t="s">
        <v>30</v>
      </c>
      <c r="D3" s="13" t="s">
        <v>31</v>
      </c>
      <c r="E3" s="28">
        <v>100.6964</v>
      </c>
      <c r="F3" s="28">
        <v>0.04</v>
      </c>
      <c r="H3" s="14"/>
    </row>
    <row r="4" spans="1:8">
      <c r="B4" s="11">
        <v>1</v>
      </c>
      <c r="C4" s="12" t="s">
        <v>32</v>
      </c>
      <c r="D4" s="13" t="s">
        <v>33</v>
      </c>
      <c r="E4" s="28">
        <v>1.3408000000000002</v>
      </c>
      <c r="F4" s="28">
        <v>3.8160000000000003</v>
      </c>
      <c r="H4" s="14"/>
    </row>
    <row r="5" spans="1:8">
      <c r="B5" s="11">
        <v>1</v>
      </c>
      <c r="C5" s="12" t="s">
        <v>34</v>
      </c>
      <c r="D5" s="13" t="s">
        <v>33</v>
      </c>
      <c r="E5" s="28">
        <v>0.35880000000000001</v>
      </c>
      <c r="F5" s="28">
        <v>3.8160000000000003</v>
      </c>
      <c r="H5" s="14"/>
    </row>
    <row r="6" spans="1:8">
      <c r="B6" s="51">
        <v>1</v>
      </c>
      <c r="C6" s="52" t="s">
        <v>35</v>
      </c>
      <c r="D6" s="53" t="s">
        <v>36</v>
      </c>
      <c r="E6" s="28">
        <v>136.90719999999999</v>
      </c>
      <c r="F6" s="28">
        <v>0.50039999999999996</v>
      </c>
      <c r="H6" s="14"/>
    </row>
    <row r="7" spans="1:8">
      <c r="B7" s="29"/>
      <c r="C7" s="7"/>
      <c r="D7" s="2"/>
      <c r="E7" s="30"/>
      <c r="F7" s="30"/>
      <c r="H7" s="30"/>
    </row>
    <row r="8" spans="1:8">
      <c r="A8" s="35"/>
      <c r="B8" s="31" t="s">
        <v>84</v>
      </c>
      <c r="C8" s="32"/>
      <c r="D8" s="33"/>
      <c r="E8" s="34"/>
      <c r="F8" s="40"/>
      <c r="H8" s="47"/>
    </row>
    <row r="9" spans="1:8">
      <c r="A9" s="35"/>
      <c r="B9" s="44" t="s">
        <v>90</v>
      </c>
      <c r="C9" s="45"/>
      <c r="D9" s="37" t="s">
        <v>96</v>
      </c>
      <c r="E9">
        <v>3.24</v>
      </c>
      <c r="F9">
        <v>0.28800000000000003</v>
      </c>
      <c r="H9" s="48">
        <v>78</v>
      </c>
    </row>
    <row r="10" spans="1:8">
      <c r="A10" s="35"/>
      <c r="B10" s="41" t="s">
        <v>92</v>
      </c>
      <c r="C10" s="36"/>
      <c r="D10" s="37" t="s">
        <v>93</v>
      </c>
      <c r="E10">
        <v>6</v>
      </c>
      <c r="F10">
        <v>2.7999999999999997E-2</v>
      </c>
      <c r="H10" s="48">
        <f>+E10</f>
        <v>6</v>
      </c>
    </row>
    <row r="11" spans="1:8">
      <c r="A11" s="35"/>
      <c r="B11" s="41" t="s">
        <v>94</v>
      </c>
      <c r="C11" s="36"/>
      <c r="D11" s="37" t="s">
        <v>33</v>
      </c>
      <c r="E11">
        <v>4.8</v>
      </c>
      <c r="F11">
        <v>2.4E-2</v>
      </c>
      <c r="H11" s="48">
        <f>+E11</f>
        <v>4.8</v>
      </c>
    </row>
    <row r="12" spans="1:8">
      <c r="A12" s="35"/>
      <c r="B12" s="44" t="s">
        <v>85</v>
      </c>
      <c r="C12" s="45"/>
      <c r="D12" s="46" t="s">
        <v>91</v>
      </c>
      <c r="E12">
        <v>0.50119999999999998</v>
      </c>
      <c r="F12">
        <v>0.6</v>
      </c>
      <c r="H12" s="48">
        <v>8.85</v>
      </c>
    </row>
    <row r="13" spans="1:8">
      <c r="A13" s="35"/>
      <c r="B13" s="44" t="s">
        <v>86</v>
      </c>
      <c r="C13" s="45"/>
      <c r="D13" s="46" t="s">
        <v>91</v>
      </c>
      <c r="E13">
        <v>0.45880000000000004</v>
      </c>
      <c r="F13">
        <v>3.4</v>
      </c>
      <c r="H13" s="48">
        <v>8.83</v>
      </c>
    </row>
    <row r="14" spans="1:8">
      <c r="A14" s="35"/>
      <c r="B14" s="35" t="s">
        <v>87</v>
      </c>
      <c r="C14" s="36"/>
      <c r="D14" s="37" t="s">
        <v>95</v>
      </c>
      <c r="E14">
        <v>0.39136000000000004</v>
      </c>
      <c r="F14">
        <v>1</v>
      </c>
      <c r="H14" s="48">
        <f>+E14</f>
        <v>0.39136000000000004</v>
      </c>
    </row>
    <row r="15" spans="1:8">
      <c r="A15" s="35"/>
      <c r="B15" s="61" t="s">
        <v>88</v>
      </c>
      <c r="C15" s="45"/>
      <c r="D15" s="46" t="s">
        <v>91</v>
      </c>
      <c r="E15">
        <v>0.56000000000000005</v>
      </c>
      <c r="F15">
        <v>0.08</v>
      </c>
      <c r="H15" s="48">
        <v>13</v>
      </c>
    </row>
    <row r="16" spans="1:8">
      <c r="A16" s="35"/>
      <c r="B16" s="62" t="s">
        <v>89</v>
      </c>
      <c r="C16" s="63"/>
      <c r="D16" s="64" t="s">
        <v>91</v>
      </c>
      <c r="E16">
        <v>0.58704000000000012</v>
      </c>
      <c r="F16">
        <v>0.08</v>
      </c>
      <c r="H16" s="48">
        <v>12</v>
      </c>
    </row>
    <row r="17" spans="1:9" ht="15" thickBot="1">
      <c r="A17" s="36"/>
      <c r="B17" s="36"/>
      <c r="C17" s="36"/>
      <c r="D17" s="38"/>
      <c r="E17" s="39"/>
      <c r="F17" s="55">
        <f>+SUMPRODUCT(E9:E16,F9:F16)</f>
        <v>3.5600832000000007</v>
      </c>
      <c r="G17" s="56"/>
      <c r="H17" s="57">
        <f>+SUMPRODUCT(H9:H16,F9:F16)</f>
        <v>60.470559999999999</v>
      </c>
      <c r="I17" s="58">
        <f>+F17-H17</f>
        <v>-56.910476799999998</v>
      </c>
    </row>
    <row r="18" spans="1:9" ht="15" thickBot="1">
      <c r="B18" s="81" t="s">
        <v>78</v>
      </c>
      <c r="C18" s="82"/>
      <c r="D18" s="82"/>
      <c r="E18" s="82"/>
      <c r="F18" s="66">
        <f>+SUMPRODUCT(E3:E6,F3:F6)</f>
        <v>79.021892479999991</v>
      </c>
      <c r="G18" s="67"/>
      <c r="H18" s="66">
        <f>+F18-I17</f>
        <v>135.93236927999999</v>
      </c>
      <c r="I18" s="60"/>
    </row>
    <row r="19" spans="1:9">
      <c r="H19" s="28"/>
    </row>
    <row r="20" spans="1:9">
      <c r="B20" s="11">
        <v>2</v>
      </c>
      <c r="C20" s="12" t="s">
        <v>37</v>
      </c>
      <c r="D20" s="11" t="s">
        <v>36</v>
      </c>
      <c r="E20" s="14"/>
      <c r="F20" s="69">
        <f>+SUMPRODUCT(E22:E29,F22:F29)</f>
        <v>2.004032</v>
      </c>
      <c r="H20" s="48">
        <f>+SUMPRODUCT(F22:F29,H22:H29)</f>
        <v>28.176383999999999</v>
      </c>
    </row>
    <row r="21" spans="1:9">
      <c r="B21" s="31" t="s">
        <v>84</v>
      </c>
      <c r="C21" s="32"/>
      <c r="D21" s="11"/>
      <c r="E21">
        <v>0</v>
      </c>
      <c r="F21">
        <v>0</v>
      </c>
      <c r="H21" s="48"/>
    </row>
    <row r="22" spans="1:9">
      <c r="B22" s="41" t="s">
        <v>90</v>
      </c>
      <c r="C22" s="36"/>
      <c r="D22" s="11" t="s">
        <v>91</v>
      </c>
      <c r="E22">
        <v>3.24</v>
      </c>
      <c r="F22">
        <f>(+F9)/25</f>
        <v>1.1520000000000001E-2</v>
      </c>
      <c r="H22" s="48">
        <v>76</v>
      </c>
    </row>
    <row r="23" spans="1:9">
      <c r="B23" s="41" t="s">
        <v>92</v>
      </c>
      <c r="C23" s="36"/>
      <c r="D23" s="11" t="s">
        <v>93</v>
      </c>
      <c r="E23">
        <v>6</v>
      </c>
      <c r="F23">
        <v>2.7999999999999997E-2</v>
      </c>
      <c r="H23" s="48">
        <f>+E23</f>
        <v>6</v>
      </c>
    </row>
    <row r="24" spans="1:9">
      <c r="B24" s="41" t="s">
        <v>94</v>
      </c>
      <c r="C24" s="36"/>
      <c r="D24" s="11" t="s">
        <v>33</v>
      </c>
      <c r="E24">
        <v>4.8</v>
      </c>
      <c r="F24">
        <v>2.4E-2</v>
      </c>
      <c r="H24" s="48">
        <f>+E24</f>
        <v>4.8</v>
      </c>
    </row>
    <row r="25" spans="1:9">
      <c r="B25" s="44" t="s">
        <v>85</v>
      </c>
      <c r="C25" s="45"/>
      <c r="D25" s="11" t="s">
        <v>91</v>
      </c>
      <c r="E25">
        <v>0.50119999999999998</v>
      </c>
      <c r="F25">
        <v>0.6</v>
      </c>
      <c r="H25" s="48">
        <f>+H12</f>
        <v>8.85</v>
      </c>
    </row>
    <row r="26" spans="1:9">
      <c r="B26" s="44" t="s">
        <v>86</v>
      </c>
      <c r="C26" s="45"/>
      <c r="D26" s="11" t="s">
        <v>91</v>
      </c>
      <c r="E26">
        <v>0.45880000000000004</v>
      </c>
      <c r="F26">
        <v>2.2000000000000002</v>
      </c>
      <c r="H26" s="48">
        <f>+H13</f>
        <v>8.83</v>
      </c>
    </row>
    <row r="27" spans="1:9">
      <c r="B27" s="35" t="s">
        <v>87</v>
      </c>
      <c r="C27" s="36"/>
      <c r="D27" s="11" t="s">
        <v>95</v>
      </c>
      <c r="E27">
        <v>0.39119999999999999</v>
      </c>
      <c r="F27">
        <v>0.72</v>
      </c>
      <c r="H27" s="48">
        <f>+E27</f>
        <v>0.39119999999999999</v>
      </c>
    </row>
    <row r="28" spans="1:9">
      <c r="B28" s="35" t="s">
        <v>88</v>
      </c>
      <c r="C28" s="36"/>
      <c r="D28" s="11" t="s">
        <v>91</v>
      </c>
      <c r="E28">
        <v>0.56000000000000005</v>
      </c>
      <c r="F28">
        <v>0.08</v>
      </c>
      <c r="H28" s="48">
        <v>13</v>
      </c>
    </row>
    <row r="29" spans="1:9">
      <c r="B29" s="42" t="s">
        <v>89</v>
      </c>
      <c r="C29" s="43"/>
      <c r="D29" s="11" t="s">
        <v>91</v>
      </c>
      <c r="E29">
        <v>0.58704000000000012</v>
      </c>
      <c r="F29">
        <v>0.08</v>
      </c>
      <c r="H29" s="48">
        <v>12</v>
      </c>
    </row>
    <row r="30" spans="1:9">
      <c r="B30" s="36"/>
      <c r="C30" s="36"/>
      <c r="D30" s="11"/>
      <c r="E30" s="69"/>
    </row>
    <row r="31" spans="1:9">
      <c r="B31" s="11">
        <v>2</v>
      </c>
      <c r="C31" s="12" t="s">
        <v>38</v>
      </c>
      <c r="D31" s="13" t="s">
        <v>36</v>
      </c>
      <c r="E31" s="14"/>
      <c r="F31" s="69">
        <f>+SUMPRODUCT(E33:E40,F33:F40)</f>
        <v>3.9169664000000006</v>
      </c>
      <c r="H31" s="48">
        <f>+SUMPRODUCT(F33:F40,H33:H40)</f>
        <v>87.960000000000008</v>
      </c>
    </row>
    <row r="32" spans="1:9">
      <c r="B32" s="31" t="s">
        <v>84</v>
      </c>
      <c r="C32" s="32"/>
      <c r="D32" s="11"/>
      <c r="E32" s="14"/>
      <c r="F32" s="14"/>
      <c r="H32" s="48"/>
    </row>
    <row r="33" spans="2:8">
      <c r="B33" s="41" t="s">
        <v>90</v>
      </c>
      <c r="C33" s="36"/>
      <c r="D33" s="11" t="s">
        <v>91</v>
      </c>
      <c r="E33">
        <v>3.24</v>
      </c>
      <c r="F33">
        <v>0.28800000000000003</v>
      </c>
      <c r="H33" s="48">
        <v>76</v>
      </c>
    </row>
    <row r="34" spans="2:8">
      <c r="B34" s="41" t="s">
        <v>92</v>
      </c>
      <c r="C34" s="36"/>
      <c r="D34" s="11" t="s">
        <v>93</v>
      </c>
      <c r="E34">
        <v>6</v>
      </c>
      <c r="F34">
        <v>2.7999999999999997E-2</v>
      </c>
      <c r="H34" s="48">
        <v>150</v>
      </c>
    </row>
    <row r="35" spans="2:8">
      <c r="B35" s="41" t="s">
        <v>94</v>
      </c>
      <c r="C35" s="36"/>
      <c r="D35" s="11" t="s">
        <v>33</v>
      </c>
      <c r="E35">
        <v>4.8</v>
      </c>
      <c r="F35">
        <v>2.4E-2</v>
      </c>
      <c r="H35" s="48">
        <v>120</v>
      </c>
    </row>
    <row r="36" spans="2:8">
      <c r="B36" s="44" t="s">
        <v>85</v>
      </c>
      <c r="C36" s="45"/>
      <c r="D36" s="11" t="s">
        <v>91</v>
      </c>
      <c r="E36">
        <v>0.50119999999999998</v>
      </c>
      <c r="F36">
        <v>0.6</v>
      </c>
      <c r="H36" s="48">
        <v>8.85</v>
      </c>
    </row>
    <row r="37" spans="2:8">
      <c r="B37" s="44" t="s">
        <v>86</v>
      </c>
      <c r="C37" s="45"/>
      <c r="D37" s="11" t="s">
        <v>91</v>
      </c>
      <c r="E37">
        <v>0.45880000000000004</v>
      </c>
      <c r="F37">
        <v>2.2000000000000002</v>
      </c>
      <c r="H37" s="48">
        <v>8.83</v>
      </c>
    </row>
    <row r="38" spans="2:8">
      <c r="B38" s="35" t="s">
        <v>87</v>
      </c>
      <c r="C38" s="36"/>
      <c r="D38" s="11" t="s">
        <v>95</v>
      </c>
      <c r="E38">
        <v>0.39119999999999999</v>
      </c>
      <c r="F38">
        <v>3.2</v>
      </c>
      <c r="H38" s="48">
        <v>9.7799999999999994</v>
      </c>
    </row>
    <row r="39" spans="2:8">
      <c r="B39" s="35" t="s">
        <v>88</v>
      </c>
      <c r="C39" s="36"/>
      <c r="D39" s="11" t="s">
        <v>91</v>
      </c>
      <c r="E39">
        <v>0.56000000000000005</v>
      </c>
      <c r="F39">
        <v>0.08</v>
      </c>
      <c r="H39" s="48">
        <v>13</v>
      </c>
    </row>
    <row r="40" spans="2:8">
      <c r="B40" s="42" t="s">
        <v>89</v>
      </c>
      <c r="C40" s="43"/>
      <c r="D40" s="11" t="s">
        <v>91</v>
      </c>
      <c r="E40">
        <v>0.58704000000000012</v>
      </c>
      <c r="F40">
        <v>0.16</v>
      </c>
      <c r="H40" s="48">
        <v>12</v>
      </c>
    </row>
    <row r="41" spans="2:8">
      <c r="B41" s="36"/>
      <c r="C41" s="36"/>
      <c r="D41" s="11"/>
      <c r="E41" s="69"/>
    </row>
    <row r="42" spans="2:8">
      <c r="B42" s="11">
        <v>2</v>
      </c>
      <c r="C42" s="12" t="s">
        <v>39</v>
      </c>
      <c r="D42" s="13" t="s">
        <v>36</v>
      </c>
      <c r="E42" s="14"/>
      <c r="F42" s="69">
        <f>+SUMPRODUCT(E44:E50,F44:F50)</f>
        <v>1.1964848000000001</v>
      </c>
      <c r="H42" s="48">
        <f>+SUMPRODUCT(F44:F50,H44:H50)</f>
        <v>15.215558399999997</v>
      </c>
    </row>
    <row r="43" spans="2:8">
      <c r="B43" s="31" t="s">
        <v>84</v>
      </c>
      <c r="C43" s="32"/>
      <c r="D43" s="13"/>
      <c r="E43" s="14"/>
      <c r="F43" s="14"/>
      <c r="H43" s="48"/>
    </row>
    <row r="44" spans="2:8">
      <c r="B44" s="41" t="s">
        <v>90</v>
      </c>
      <c r="C44" s="36"/>
      <c r="D44" s="13" t="s">
        <v>91</v>
      </c>
      <c r="E44">
        <v>3.24</v>
      </c>
      <c r="F44">
        <v>0.11199999999999999</v>
      </c>
      <c r="H44" s="48">
        <v>76</v>
      </c>
    </row>
    <row r="45" spans="2:8">
      <c r="B45" s="41" t="s">
        <v>92</v>
      </c>
      <c r="C45" s="36"/>
      <c r="D45" s="13" t="s">
        <v>93</v>
      </c>
      <c r="E45">
        <v>6</v>
      </c>
      <c r="F45">
        <v>0.01</v>
      </c>
      <c r="H45" s="48">
        <v>150</v>
      </c>
    </row>
    <row r="46" spans="2:8">
      <c r="B46" s="41" t="s">
        <v>94</v>
      </c>
      <c r="C46" s="36"/>
      <c r="D46" s="13" t="s">
        <v>33</v>
      </c>
      <c r="E46">
        <v>4.8</v>
      </c>
      <c r="F46">
        <v>1.3999999999999999E-2</v>
      </c>
      <c r="H46" s="48">
        <v>120</v>
      </c>
    </row>
    <row r="47" spans="2:8">
      <c r="B47" s="41" t="s">
        <v>97</v>
      </c>
      <c r="C47" s="36"/>
      <c r="D47" s="13" t="s">
        <v>93</v>
      </c>
      <c r="E47">
        <v>5.3811999999999998</v>
      </c>
      <c r="F47">
        <v>3.2000000000000001E-2</v>
      </c>
      <c r="H47" s="48">
        <f>+E47</f>
        <v>5.3811999999999998</v>
      </c>
    </row>
    <row r="48" spans="2:8">
      <c r="B48" s="41" t="s">
        <v>87</v>
      </c>
      <c r="C48" s="36"/>
      <c r="D48" s="13" t="s">
        <v>95</v>
      </c>
      <c r="E48">
        <v>0.39136000000000004</v>
      </c>
      <c r="F48">
        <v>1</v>
      </c>
      <c r="H48" s="48">
        <f>+E48</f>
        <v>0.39136000000000004</v>
      </c>
    </row>
    <row r="49" spans="2:9">
      <c r="B49" s="61" t="s">
        <v>88</v>
      </c>
      <c r="C49" s="45"/>
      <c r="D49" s="13" t="s">
        <v>91</v>
      </c>
      <c r="E49">
        <v>0.61150000000000004</v>
      </c>
      <c r="F49">
        <v>0.08</v>
      </c>
      <c r="H49" s="48">
        <v>13</v>
      </c>
    </row>
    <row r="50" spans="2:9">
      <c r="B50" s="61" t="s">
        <v>89</v>
      </c>
      <c r="C50" s="45"/>
      <c r="D50" s="13" t="s">
        <v>91</v>
      </c>
      <c r="E50">
        <v>0.58704000000000012</v>
      </c>
      <c r="F50">
        <v>0.16</v>
      </c>
      <c r="H50" s="48">
        <v>12</v>
      </c>
    </row>
    <row r="51" spans="2:9">
      <c r="B51" s="42"/>
      <c r="C51" s="43"/>
      <c r="D51" s="13"/>
      <c r="E51" s="14"/>
      <c r="F51" s="14"/>
      <c r="H51" s="48"/>
    </row>
    <row r="52" spans="2:9">
      <c r="B52" s="11">
        <v>2</v>
      </c>
      <c r="C52" s="12" t="s">
        <v>40</v>
      </c>
      <c r="D52" s="13" t="s">
        <v>36</v>
      </c>
      <c r="E52" s="15"/>
      <c r="F52" s="69">
        <f>+SUMPRODUCT(E54:E60,F54:F60)</f>
        <v>0.64067839999999998</v>
      </c>
      <c r="H52" s="48">
        <f>+SUMPRODUCT(F54:F60,H54:H60)</f>
        <v>11.324198399999997</v>
      </c>
    </row>
    <row r="53" spans="2:9">
      <c r="B53" s="31" t="s">
        <v>84</v>
      </c>
      <c r="C53" s="32"/>
      <c r="D53" s="2"/>
      <c r="E53" s="65"/>
      <c r="F53" s="30"/>
      <c r="H53" s="47"/>
    </row>
    <row r="54" spans="2:9">
      <c r="B54" s="41" t="s">
        <v>90</v>
      </c>
      <c r="C54" s="36"/>
      <c r="D54" s="13" t="s">
        <v>91</v>
      </c>
      <c r="E54">
        <v>3.24</v>
      </c>
      <c r="F54">
        <v>0.11199999999999999</v>
      </c>
      <c r="H54" s="48">
        <v>76</v>
      </c>
    </row>
    <row r="55" spans="2:9">
      <c r="B55" s="41" t="s">
        <v>92</v>
      </c>
      <c r="C55" s="36"/>
      <c r="D55" s="13" t="s">
        <v>93</v>
      </c>
      <c r="E55">
        <v>6</v>
      </c>
      <c r="F55">
        <v>8.0000000000000002E-3</v>
      </c>
      <c r="H55" s="48">
        <v>150</v>
      </c>
    </row>
    <row r="56" spans="2:9">
      <c r="B56" s="41" t="s">
        <v>94</v>
      </c>
      <c r="C56" s="36"/>
      <c r="D56" s="13" t="s">
        <v>33</v>
      </c>
      <c r="E56">
        <v>4.8</v>
      </c>
      <c r="F56">
        <v>1.2E-2</v>
      </c>
      <c r="H56" s="48">
        <v>120</v>
      </c>
    </row>
    <row r="57" spans="2:9">
      <c r="B57" s="41" t="s">
        <v>97</v>
      </c>
      <c r="C57" s="36"/>
      <c r="D57" s="13" t="s">
        <v>93</v>
      </c>
      <c r="E57">
        <v>5.3811999999999998</v>
      </c>
      <c r="F57">
        <v>3.2000000000000001E-2</v>
      </c>
      <c r="H57" s="48">
        <f>+E57</f>
        <v>5.3811999999999998</v>
      </c>
    </row>
    <row r="58" spans="2:9">
      <c r="B58" s="41" t="s">
        <v>87</v>
      </c>
      <c r="C58" s="36"/>
      <c r="D58" s="13" t="s">
        <v>95</v>
      </c>
      <c r="E58">
        <v>0.39136000000000004</v>
      </c>
      <c r="F58">
        <v>0</v>
      </c>
      <c r="H58" s="48">
        <f>+E58</f>
        <v>0.39136000000000004</v>
      </c>
    </row>
    <row r="59" spans="2:9">
      <c r="B59" s="61" t="s">
        <v>88</v>
      </c>
      <c r="C59" s="45"/>
      <c r="D59" s="13" t="s">
        <v>91</v>
      </c>
      <c r="E59">
        <v>0.61150000000000004</v>
      </c>
      <c r="F59">
        <v>0</v>
      </c>
      <c r="H59" s="48">
        <v>13</v>
      </c>
    </row>
    <row r="60" spans="2:9">
      <c r="B60" s="61" t="s">
        <v>89</v>
      </c>
      <c r="C60" s="45"/>
      <c r="D60" s="13" t="s">
        <v>91</v>
      </c>
      <c r="E60">
        <v>0.58704000000000012</v>
      </c>
      <c r="F60">
        <v>0</v>
      </c>
      <c r="H60" s="48">
        <v>12</v>
      </c>
    </row>
    <row r="61" spans="2:9" ht="15" thickBot="1">
      <c r="H61" s="28"/>
    </row>
    <row r="62" spans="2:9" ht="15" thickBot="1">
      <c r="B62" s="81" t="s">
        <v>79</v>
      </c>
      <c r="C62" s="82"/>
      <c r="D62" s="82"/>
      <c r="E62" s="82"/>
      <c r="F62" s="66">
        <f>+F52+F42+F31+F20</f>
        <v>7.7581616000000011</v>
      </c>
      <c r="G62" s="67"/>
      <c r="H62" s="66">
        <f>+H52+H42+H31+H20</f>
        <v>142.67614079999998</v>
      </c>
      <c r="I62" s="54">
        <f>+F62-H62</f>
        <v>-134.91797919999999</v>
      </c>
    </row>
    <row r="63" spans="2:9">
      <c r="H63" s="28"/>
    </row>
    <row r="64" spans="2:9">
      <c r="B64" s="11">
        <v>3</v>
      </c>
      <c r="C64" s="26" t="s">
        <v>41</v>
      </c>
      <c r="D64" s="16" t="s">
        <v>33</v>
      </c>
      <c r="E64" s="17"/>
      <c r="F64" s="17">
        <f>+SUMPRODUCT(E66:E75,F66:F75)</f>
        <v>0.36121924</v>
      </c>
      <c r="H64" s="49">
        <f>+SUMPRODUCT(F66:F75,H66:H75)</f>
        <v>5.5536053760000001</v>
      </c>
      <c r="I64" s="58">
        <f>+F64-H64</f>
        <v>-5.1923861360000005</v>
      </c>
    </row>
    <row r="65" spans="2:10">
      <c r="B65" s="31" t="s">
        <v>84</v>
      </c>
      <c r="C65" s="73"/>
      <c r="D65" s="71"/>
      <c r="E65" s="17"/>
      <c r="F65" s="17"/>
      <c r="H65" s="49"/>
    </row>
    <row r="66" spans="2:10">
      <c r="B66" s="41" t="s">
        <v>98</v>
      </c>
      <c r="C66" s="74"/>
      <c r="D66" s="38" t="s">
        <v>91</v>
      </c>
      <c r="E66" s="28">
        <v>0.496</v>
      </c>
      <c r="F66" s="28">
        <v>0.08</v>
      </c>
      <c r="H66" s="49">
        <v>9.08</v>
      </c>
    </row>
    <row r="67" spans="2:10">
      <c r="B67" s="41" t="s">
        <v>89</v>
      </c>
      <c r="C67" s="74"/>
      <c r="D67" s="38" t="s">
        <v>91</v>
      </c>
      <c r="E67" s="28">
        <v>0.58704000000000012</v>
      </c>
      <c r="F67" s="28">
        <v>1.6000000000000001E-3</v>
      </c>
      <c r="H67" s="49">
        <v>12</v>
      </c>
    </row>
    <row r="68" spans="2:10">
      <c r="B68" s="41" t="s">
        <v>90</v>
      </c>
      <c r="C68" s="74"/>
      <c r="D68" s="38" t="s">
        <v>91</v>
      </c>
      <c r="E68" s="28">
        <v>3.24</v>
      </c>
      <c r="F68" s="28">
        <v>2.1600000000000001E-2</v>
      </c>
      <c r="H68" s="49">
        <v>75</v>
      </c>
    </row>
    <row r="69" spans="2:10">
      <c r="B69" s="41" t="s">
        <v>88</v>
      </c>
      <c r="C69" s="74"/>
      <c r="D69" s="72" t="s">
        <v>91</v>
      </c>
      <c r="E69" s="28">
        <v>0.61150000000000004</v>
      </c>
      <c r="F69" s="28">
        <v>4.4000000000000003E-3</v>
      </c>
      <c r="H69" s="49">
        <v>13</v>
      </c>
    </row>
    <row r="70" spans="2:10">
      <c r="B70" s="41" t="s">
        <v>87</v>
      </c>
      <c r="C70" s="74"/>
      <c r="D70" s="72" t="s">
        <v>95</v>
      </c>
      <c r="E70" s="28">
        <v>0.39136000000000004</v>
      </c>
      <c r="F70" s="28">
        <v>0.22159999999999999</v>
      </c>
      <c r="H70" s="49">
        <f>+E70</f>
        <v>0.39136000000000004</v>
      </c>
    </row>
    <row r="71" spans="2:10">
      <c r="B71" s="61" t="s">
        <v>99</v>
      </c>
      <c r="C71" s="75"/>
      <c r="D71" s="72" t="s">
        <v>48</v>
      </c>
      <c r="E71" s="28">
        <v>0.76</v>
      </c>
      <c r="F71" s="28">
        <v>0.08</v>
      </c>
      <c r="H71" s="49">
        <v>15.48</v>
      </c>
      <c r="I71" s="56">
        <v>24.51</v>
      </c>
      <c r="J71" s="80">
        <v>0.36840000000000001</v>
      </c>
    </row>
    <row r="72" spans="2:10">
      <c r="B72" s="61" t="s">
        <v>100</v>
      </c>
      <c r="C72" s="75"/>
      <c r="D72" s="72" t="s">
        <v>104</v>
      </c>
      <c r="E72" s="28">
        <v>1.024</v>
      </c>
      <c r="F72" s="28">
        <v>0.08</v>
      </c>
      <c r="H72" s="49">
        <v>22.34</v>
      </c>
      <c r="I72" s="56">
        <v>32</v>
      </c>
      <c r="J72" s="80">
        <v>0.3019</v>
      </c>
    </row>
    <row r="73" spans="2:10">
      <c r="B73" s="41" t="s">
        <v>101</v>
      </c>
      <c r="C73" s="74"/>
      <c r="D73" s="72" t="s">
        <v>93</v>
      </c>
      <c r="E73" s="28">
        <v>6</v>
      </c>
      <c r="F73" s="28">
        <v>1.1999999999999999E-3</v>
      </c>
      <c r="H73" s="49">
        <f>+E73</f>
        <v>6</v>
      </c>
      <c r="I73" s="56"/>
      <c r="J73" s="56"/>
    </row>
    <row r="74" spans="2:10">
      <c r="B74" s="41" t="s">
        <v>94</v>
      </c>
      <c r="C74" s="74"/>
      <c r="D74" s="72" t="s">
        <v>33</v>
      </c>
      <c r="E74" s="28">
        <v>4.8</v>
      </c>
      <c r="F74" s="28">
        <v>1.6000000000000001E-3</v>
      </c>
      <c r="H74" s="49">
        <f>+E74</f>
        <v>4.8</v>
      </c>
      <c r="I74" s="56"/>
      <c r="J74" s="56"/>
    </row>
    <row r="75" spans="2:10">
      <c r="B75" s="76" t="s">
        <v>102</v>
      </c>
      <c r="C75" s="77"/>
      <c r="D75" s="72" t="s">
        <v>103</v>
      </c>
      <c r="E75" s="28">
        <v>1.8</v>
      </c>
      <c r="F75" s="28">
        <v>2E-3</v>
      </c>
      <c r="H75" s="49">
        <f>+E75</f>
        <v>1.8</v>
      </c>
    </row>
    <row r="76" spans="2:10">
      <c r="B76" s="70"/>
      <c r="C76" s="36"/>
      <c r="D76" s="16"/>
      <c r="E76" s="17"/>
      <c r="F76" s="17"/>
      <c r="H76" s="49"/>
    </row>
    <row r="77" spans="2:10">
      <c r="B77" s="11">
        <v>3</v>
      </c>
      <c r="C77" s="12" t="s">
        <v>54</v>
      </c>
      <c r="D77" s="13" t="s">
        <v>55</v>
      </c>
      <c r="E77" s="14">
        <v>497.29000000000008</v>
      </c>
      <c r="F77" s="14">
        <v>8</v>
      </c>
      <c r="H77" s="48"/>
    </row>
    <row r="78" spans="2:10">
      <c r="B78" s="11">
        <v>3</v>
      </c>
      <c r="C78" s="12" t="s">
        <v>56</v>
      </c>
      <c r="D78" s="13" t="s">
        <v>55</v>
      </c>
      <c r="E78" s="14">
        <v>491.50999999999993</v>
      </c>
      <c r="F78" s="14">
        <v>8</v>
      </c>
      <c r="H78" s="48"/>
    </row>
    <row r="79" spans="2:10">
      <c r="B79" s="11">
        <v>3</v>
      </c>
      <c r="C79" s="12" t="s">
        <v>20</v>
      </c>
      <c r="D79" s="13" t="s">
        <v>33</v>
      </c>
      <c r="E79" s="14">
        <v>201.59</v>
      </c>
      <c r="F79" s="18">
        <v>150.80000000000001</v>
      </c>
      <c r="H79" s="50"/>
    </row>
    <row r="80" spans="2:10">
      <c r="B80" s="11">
        <v>3</v>
      </c>
      <c r="C80" s="12" t="s">
        <v>71</v>
      </c>
      <c r="D80" s="13" t="s">
        <v>33</v>
      </c>
      <c r="E80" s="14">
        <v>148.47</v>
      </c>
      <c r="F80" s="18">
        <v>368.09999999999997</v>
      </c>
      <c r="H80" s="50"/>
    </row>
    <row r="81" spans="2:8">
      <c r="B81" s="11">
        <v>3</v>
      </c>
      <c r="C81" s="12" t="s">
        <v>72</v>
      </c>
      <c r="D81" s="13" t="s">
        <v>31</v>
      </c>
      <c r="E81" s="14">
        <v>2193.6799999999998</v>
      </c>
      <c r="F81" s="18">
        <v>1</v>
      </c>
      <c r="H81" s="50"/>
    </row>
    <row r="82" spans="2:8" ht="15" thickBot="1">
      <c r="H82" s="28"/>
    </row>
    <row r="83" spans="2:8" ht="15" thickBot="1">
      <c r="B83" s="81" t="s">
        <v>80</v>
      </c>
      <c r="C83" s="82"/>
      <c r="D83" s="82"/>
      <c r="E83" s="82"/>
      <c r="F83" s="66">
        <f>+SUMPRODUCT(E66:E81,F66:F81)</f>
        <v>95156.020219239988</v>
      </c>
      <c r="G83" s="67"/>
      <c r="H83" s="68">
        <f>+F83-I64</f>
        <v>95161.212605375986</v>
      </c>
    </row>
    <row r="84" spans="2:8">
      <c r="H84" s="28"/>
    </row>
    <row r="85" spans="2:8">
      <c r="B85" s="11">
        <v>4</v>
      </c>
      <c r="C85" s="12" t="s">
        <v>42</v>
      </c>
      <c r="D85" s="13" t="s">
        <v>33</v>
      </c>
      <c r="E85" s="28">
        <v>0</v>
      </c>
      <c r="F85" s="28">
        <f>(+SUMPRODUCT(F87:F90,E87:E90))/25</f>
        <v>5.9014387200000008E-3</v>
      </c>
      <c r="H85" s="48"/>
    </row>
    <row r="86" spans="2:8" hidden="1" outlineLevel="1">
      <c r="B86" s="31" t="s">
        <v>84</v>
      </c>
      <c r="C86" s="31"/>
      <c r="D86" s="13"/>
      <c r="E86" s="28">
        <v>0</v>
      </c>
      <c r="F86" s="28">
        <v>0</v>
      </c>
      <c r="H86" s="48"/>
    </row>
    <row r="87" spans="2:8" hidden="1" outlineLevel="1">
      <c r="B87" s="41" t="s">
        <v>90</v>
      </c>
      <c r="C87" s="41"/>
      <c r="D87" s="13" t="s">
        <v>91</v>
      </c>
      <c r="E87" s="28">
        <v>3.24</v>
      </c>
      <c r="F87" s="28">
        <v>1.2E-2</v>
      </c>
      <c r="H87" s="48"/>
    </row>
    <row r="88" spans="2:8" hidden="1" outlineLevel="1">
      <c r="B88" s="41" t="s">
        <v>101</v>
      </c>
      <c r="C88" s="41"/>
      <c r="D88" s="13" t="s">
        <v>93</v>
      </c>
      <c r="E88" s="28">
        <v>6</v>
      </c>
      <c r="F88" s="28">
        <v>4.0000000000000002E-4</v>
      </c>
      <c r="H88" s="48"/>
    </row>
    <row r="89" spans="2:8" hidden="1" outlineLevel="1">
      <c r="B89" s="41" t="s">
        <v>105</v>
      </c>
      <c r="C89" s="41"/>
      <c r="D89" s="13" t="s">
        <v>91</v>
      </c>
      <c r="E89" s="28">
        <v>0.29366399999999998</v>
      </c>
      <c r="F89" s="28">
        <v>1.2E-2</v>
      </c>
      <c r="H89" s="48"/>
    </row>
    <row r="90" spans="2:8" hidden="1" outlineLevel="1">
      <c r="B90" s="41" t="s">
        <v>106</v>
      </c>
      <c r="C90" s="41"/>
      <c r="D90" s="13" t="s">
        <v>33</v>
      </c>
      <c r="E90" s="28">
        <v>2.4460000000000002</v>
      </c>
      <c r="F90" s="28">
        <v>4.2000000000000003E-2</v>
      </c>
      <c r="H90" s="48"/>
    </row>
    <row r="91" spans="2:8" collapsed="1">
      <c r="B91" s="11"/>
      <c r="C91" s="12"/>
      <c r="D91" s="13"/>
      <c r="E91" s="28">
        <v>0</v>
      </c>
      <c r="F91" s="28">
        <v>0</v>
      </c>
      <c r="H91" s="48"/>
    </row>
    <row r="92" spans="2:8">
      <c r="B92" s="11">
        <v>4</v>
      </c>
      <c r="C92" s="12" t="s">
        <v>43</v>
      </c>
      <c r="D92" s="13" t="s">
        <v>33</v>
      </c>
      <c r="E92" s="28">
        <v>0</v>
      </c>
      <c r="F92" s="28">
        <f>(+SUMPRODUCT(F94:F97,E94:E97))/25</f>
        <v>9.1486387200000023E-4</v>
      </c>
      <c r="H92" s="48"/>
    </row>
    <row r="93" spans="2:8" hidden="1" outlineLevel="1">
      <c r="B93" s="31" t="s">
        <v>84</v>
      </c>
      <c r="C93" s="31"/>
      <c r="D93" s="13"/>
      <c r="E93" s="28">
        <v>0</v>
      </c>
      <c r="F93" s="28">
        <v>0</v>
      </c>
      <c r="H93" s="48"/>
    </row>
    <row r="94" spans="2:8" hidden="1" outlineLevel="1">
      <c r="B94" s="41" t="s">
        <v>90</v>
      </c>
      <c r="C94" s="41"/>
      <c r="D94" s="13" t="s">
        <v>91</v>
      </c>
      <c r="E94" s="28">
        <v>3.24</v>
      </c>
      <c r="F94" s="28">
        <f>(2.1/50)/25</f>
        <v>1.6800000000000001E-3</v>
      </c>
      <c r="H94" s="48"/>
    </row>
    <row r="95" spans="2:8" hidden="1" outlineLevel="1">
      <c r="B95" s="41" t="s">
        <v>101</v>
      </c>
      <c r="C95" s="41"/>
      <c r="D95" s="13" t="s">
        <v>93</v>
      </c>
      <c r="E95" s="28">
        <v>6</v>
      </c>
      <c r="F95" s="28">
        <v>4.0000000000000002E-4</v>
      </c>
      <c r="H95" s="48"/>
    </row>
    <row r="96" spans="2:8" hidden="1" outlineLevel="1">
      <c r="B96" s="41" t="s">
        <v>105</v>
      </c>
      <c r="C96" s="41"/>
      <c r="D96" s="13" t="s">
        <v>91</v>
      </c>
      <c r="E96" s="28">
        <v>0.29366399999999998</v>
      </c>
      <c r="F96" s="28">
        <v>1.1999999999999999E-3</v>
      </c>
      <c r="H96" s="48"/>
    </row>
    <row r="97" spans="2:8" hidden="1" outlineLevel="1">
      <c r="B97" s="41" t="s">
        <v>106</v>
      </c>
      <c r="C97" s="41"/>
      <c r="D97" s="13" t="s">
        <v>33</v>
      </c>
      <c r="E97" s="28">
        <v>2.4460000000000002</v>
      </c>
      <c r="F97" s="28">
        <v>6.0000000000000001E-3</v>
      </c>
      <c r="H97" s="48"/>
    </row>
    <row r="98" spans="2:8" collapsed="1">
      <c r="B98" s="70"/>
      <c r="C98" s="70"/>
      <c r="D98" s="13"/>
      <c r="E98" s="28">
        <v>0</v>
      </c>
      <c r="F98" s="28">
        <v>0</v>
      </c>
      <c r="H98" s="48"/>
    </row>
    <row r="99" spans="2:8">
      <c r="B99" s="11">
        <v>4</v>
      </c>
      <c r="C99" s="12" t="s">
        <v>44</v>
      </c>
      <c r="D99" s="13" t="s">
        <v>45</v>
      </c>
      <c r="E99" s="28">
        <v>2.6424000000000003</v>
      </c>
      <c r="F99" s="28">
        <v>2.4544000000000001</v>
      </c>
      <c r="H99" s="48"/>
    </row>
    <row r="100" spans="2:8">
      <c r="B100" s="11">
        <v>4</v>
      </c>
      <c r="C100" s="12" t="s">
        <v>46</v>
      </c>
      <c r="D100" s="13" t="s">
        <v>33</v>
      </c>
      <c r="E100" s="28">
        <v>0</v>
      </c>
      <c r="F100" s="28">
        <f>(+SUMPRODUCT(F102:F105,E102:E105))/25</f>
        <v>6.1425619200000002E-3</v>
      </c>
      <c r="H100" s="48"/>
    </row>
    <row r="101" spans="2:8" hidden="1" outlineLevel="1">
      <c r="B101" s="31" t="s">
        <v>84</v>
      </c>
      <c r="C101" s="31"/>
      <c r="D101" s="13"/>
      <c r="E101" s="28">
        <v>0</v>
      </c>
      <c r="F101" s="28">
        <v>0</v>
      </c>
      <c r="H101" s="48"/>
    </row>
    <row r="102" spans="2:8" hidden="1" outlineLevel="1">
      <c r="B102" s="41" t="s">
        <v>90</v>
      </c>
      <c r="C102" s="41"/>
      <c r="D102" s="13" t="s">
        <v>91</v>
      </c>
      <c r="E102" s="28">
        <v>3.24</v>
      </c>
      <c r="F102" s="28">
        <v>1.2800000000000001E-2</v>
      </c>
      <c r="H102" s="48"/>
    </row>
    <row r="103" spans="2:8" hidden="1" outlineLevel="1">
      <c r="B103" s="41" t="s">
        <v>101</v>
      </c>
      <c r="C103" s="41"/>
      <c r="D103" s="13" t="s">
        <v>93</v>
      </c>
      <c r="E103" s="28">
        <v>6</v>
      </c>
      <c r="F103" s="28">
        <v>2E-3</v>
      </c>
      <c r="H103" s="48"/>
    </row>
    <row r="104" spans="2:8" hidden="1" outlineLevel="1">
      <c r="B104" s="41" t="s">
        <v>105</v>
      </c>
      <c r="C104" s="41"/>
      <c r="D104" s="13" t="s">
        <v>91</v>
      </c>
      <c r="E104" s="28">
        <v>0.29366399999999998</v>
      </c>
      <c r="F104" s="28">
        <v>1.2E-2</v>
      </c>
      <c r="H104" s="48"/>
    </row>
    <row r="105" spans="2:8" hidden="1" outlineLevel="1">
      <c r="B105" s="41" t="s">
        <v>106</v>
      </c>
      <c r="C105" s="41"/>
      <c r="D105" s="13" t="s">
        <v>33</v>
      </c>
      <c r="E105" s="28">
        <v>2.2992400000000002</v>
      </c>
      <c r="F105" s="28">
        <v>4.2000000000000003E-2</v>
      </c>
      <c r="H105" s="48"/>
    </row>
    <row r="106" spans="2:8" collapsed="1">
      <c r="B106" s="70"/>
      <c r="C106" s="70"/>
      <c r="D106" s="13"/>
      <c r="E106" s="28">
        <v>0</v>
      </c>
      <c r="F106" s="28">
        <v>0</v>
      </c>
      <c r="H106" s="48"/>
    </row>
    <row r="107" spans="2:8">
      <c r="B107" s="11">
        <v>4</v>
      </c>
      <c r="C107" s="12" t="s">
        <v>47</v>
      </c>
      <c r="D107" s="13" t="s">
        <v>48</v>
      </c>
      <c r="E107" s="28">
        <v>67.218400000000003</v>
      </c>
      <c r="F107" s="28">
        <v>0.04</v>
      </c>
      <c r="H107" s="48"/>
    </row>
    <row r="108" spans="2:8">
      <c r="B108" s="11">
        <v>4</v>
      </c>
      <c r="C108" s="12" t="s">
        <v>49</v>
      </c>
      <c r="D108" s="13" t="s">
        <v>48</v>
      </c>
      <c r="E108" s="28">
        <v>57.309600000000003</v>
      </c>
      <c r="F108" s="28">
        <v>0.16</v>
      </c>
      <c r="H108" s="48"/>
    </row>
    <row r="109" spans="2:8">
      <c r="B109" s="11">
        <v>4</v>
      </c>
      <c r="C109" s="12" t="s">
        <v>50</v>
      </c>
      <c r="D109" s="13" t="s">
        <v>48</v>
      </c>
      <c r="E109" s="28">
        <v>54.766400000000004</v>
      </c>
      <c r="F109" s="28">
        <v>0.32</v>
      </c>
      <c r="H109" s="48"/>
    </row>
    <row r="110" spans="2:8">
      <c r="B110" s="11">
        <v>4</v>
      </c>
      <c r="C110" s="12" t="s">
        <v>51</v>
      </c>
      <c r="D110" s="13" t="s">
        <v>33</v>
      </c>
      <c r="E110" s="28">
        <v>21.703600000000002</v>
      </c>
      <c r="F110" s="28">
        <v>0.32</v>
      </c>
      <c r="H110" s="48"/>
    </row>
    <row r="111" spans="2:8">
      <c r="B111" s="11">
        <v>4</v>
      </c>
      <c r="C111" s="12" t="s">
        <v>52</v>
      </c>
      <c r="D111" s="13" t="s">
        <v>33</v>
      </c>
      <c r="E111" s="28">
        <v>1</v>
      </c>
      <c r="F111" s="28">
        <v>13.406399999999998</v>
      </c>
      <c r="H111" s="48"/>
    </row>
    <row r="112" spans="2:8">
      <c r="B112" s="11">
        <v>4</v>
      </c>
      <c r="C112" s="12" t="s">
        <v>53</v>
      </c>
      <c r="D112" s="13" t="s">
        <v>33</v>
      </c>
      <c r="E112" s="28">
        <v>1.2808000000000002</v>
      </c>
      <c r="F112" s="28">
        <v>8.9600000000000009</v>
      </c>
      <c r="H112" s="48"/>
    </row>
    <row r="113" spans="2:8">
      <c r="B113" s="11">
        <v>4</v>
      </c>
      <c r="C113" s="12" t="s">
        <v>57</v>
      </c>
      <c r="D113" s="13" t="s">
        <v>48</v>
      </c>
      <c r="E113" s="28">
        <v>34.144399999999997</v>
      </c>
      <c r="F113" s="28">
        <v>0.12</v>
      </c>
      <c r="H113" s="48"/>
    </row>
    <row r="114" spans="2:8">
      <c r="B114" s="11">
        <v>4</v>
      </c>
      <c r="C114" s="12" t="s">
        <v>58</v>
      </c>
      <c r="D114" s="13" t="s">
        <v>48</v>
      </c>
      <c r="E114" s="28">
        <v>43.686000000000007</v>
      </c>
      <c r="F114" s="28">
        <v>0.16</v>
      </c>
      <c r="H114" s="48"/>
    </row>
    <row r="115" spans="2:8">
      <c r="B115" s="11">
        <v>4</v>
      </c>
      <c r="C115" s="12" t="s">
        <v>19</v>
      </c>
      <c r="D115" s="13" t="s">
        <v>48</v>
      </c>
      <c r="E115" s="28">
        <v>42.863599999999998</v>
      </c>
      <c r="F115" s="28">
        <v>0.16</v>
      </c>
      <c r="H115" s="48"/>
    </row>
    <row r="116" spans="2:8">
      <c r="B116" s="11">
        <v>4</v>
      </c>
      <c r="C116" s="12" t="s">
        <v>59</v>
      </c>
      <c r="D116" s="13" t="s">
        <v>48</v>
      </c>
      <c r="E116" s="28">
        <v>44.016400000000004</v>
      </c>
      <c r="F116" s="28">
        <v>0.04</v>
      </c>
      <c r="H116" s="48"/>
    </row>
    <row r="117" spans="2:8">
      <c r="B117" s="11">
        <v>4</v>
      </c>
      <c r="C117" s="12" t="s">
        <v>60</v>
      </c>
      <c r="D117" s="13" t="s">
        <v>48</v>
      </c>
      <c r="E117" s="28">
        <v>32.056399999999996</v>
      </c>
      <c r="F117" s="28">
        <v>0.04</v>
      </c>
      <c r="H117" s="50"/>
    </row>
    <row r="118" spans="2:8">
      <c r="B118" s="11">
        <v>4</v>
      </c>
      <c r="C118" s="12" t="s">
        <v>61</v>
      </c>
      <c r="D118" s="13" t="s">
        <v>33</v>
      </c>
      <c r="E118" s="28">
        <v>14.015599999999999</v>
      </c>
      <c r="F118" s="28">
        <v>9.8000000000000004E-2</v>
      </c>
      <c r="H118" s="50"/>
    </row>
    <row r="119" spans="2:8">
      <c r="B119" s="11">
        <v>4</v>
      </c>
      <c r="C119" s="12" t="s">
        <v>62</v>
      </c>
      <c r="D119" s="13" t="s">
        <v>48</v>
      </c>
      <c r="E119" s="28">
        <v>39.61760000000001</v>
      </c>
      <c r="F119" s="28">
        <v>0.12</v>
      </c>
      <c r="H119" s="50"/>
    </row>
    <row r="120" spans="2:8">
      <c r="B120" s="11">
        <v>4</v>
      </c>
      <c r="C120" s="12" t="s">
        <v>63</v>
      </c>
      <c r="D120" s="13" t="s">
        <v>48</v>
      </c>
      <c r="E120" s="28">
        <v>12.366</v>
      </c>
      <c r="F120" s="28">
        <v>0.12</v>
      </c>
      <c r="H120" s="50"/>
    </row>
    <row r="121" spans="2:8">
      <c r="B121" s="11">
        <v>4</v>
      </c>
      <c r="C121" s="12" t="s">
        <v>64</v>
      </c>
      <c r="D121" s="13" t="s">
        <v>31</v>
      </c>
      <c r="E121" s="28">
        <v>157.21879999999999</v>
      </c>
      <c r="F121" s="28">
        <v>0.08</v>
      </c>
      <c r="H121" s="50"/>
    </row>
    <row r="122" spans="2:8">
      <c r="B122" s="11">
        <v>4</v>
      </c>
      <c r="C122" s="12" t="s">
        <v>65</v>
      </c>
      <c r="D122" s="13" t="s">
        <v>55</v>
      </c>
      <c r="E122" s="28">
        <v>4.9748000000000001</v>
      </c>
      <c r="F122" s="28">
        <v>0.48</v>
      </c>
      <c r="H122" s="50"/>
    </row>
    <row r="123" spans="2:8">
      <c r="B123" s="11">
        <v>4</v>
      </c>
      <c r="C123" s="12" t="s">
        <v>66</v>
      </c>
      <c r="D123" s="13" t="s">
        <v>55</v>
      </c>
      <c r="E123" s="28">
        <v>4.5620000000000003</v>
      </c>
      <c r="F123" s="28">
        <v>0.6</v>
      </c>
      <c r="H123" s="50"/>
    </row>
    <row r="124" spans="2:8">
      <c r="B124" s="11">
        <v>4</v>
      </c>
      <c r="C124" s="12" t="s">
        <v>67</v>
      </c>
      <c r="D124" s="13" t="s">
        <v>55</v>
      </c>
      <c r="E124" s="28">
        <v>3.0251999999999999</v>
      </c>
      <c r="F124" s="28">
        <v>0.48</v>
      </c>
      <c r="H124" s="50"/>
    </row>
    <row r="125" spans="2:8">
      <c r="B125" s="11">
        <v>4</v>
      </c>
      <c r="C125" s="12" t="s">
        <v>68</v>
      </c>
      <c r="D125" s="13" t="s">
        <v>55</v>
      </c>
      <c r="E125" s="28">
        <v>9.719199999999999</v>
      </c>
      <c r="F125" s="28">
        <v>0.08</v>
      </c>
      <c r="H125" s="50"/>
    </row>
    <row r="126" spans="2:8">
      <c r="B126" s="11">
        <v>4</v>
      </c>
      <c r="C126" s="12" t="s">
        <v>69</v>
      </c>
      <c r="D126" s="13" t="s">
        <v>55</v>
      </c>
      <c r="E126" s="28">
        <v>5.9615999999999998</v>
      </c>
      <c r="F126" s="28">
        <v>0.24</v>
      </c>
      <c r="H126" s="50"/>
    </row>
    <row r="127" spans="2:8">
      <c r="B127" s="11">
        <v>4</v>
      </c>
      <c r="C127" s="12" t="s">
        <v>70</v>
      </c>
      <c r="D127" s="13" t="s">
        <v>55</v>
      </c>
      <c r="E127" s="28">
        <v>11.523599999999998</v>
      </c>
      <c r="F127" s="28">
        <v>0.16</v>
      </c>
      <c r="H127" s="50"/>
    </row>
    <row r="128" spans="2:8">
      <c r="B128" s="11">
        <v>4</v>
      </c>
      <c r="C128" s="12" t="s">
        <v>21</v>
      </c>
      <c r="D128" s="13" t="s">
        <v>6</v>
      </c>
      <c r="E128" s="28">
        <v>3.69</v>
      </c>
      <c r="F128" s="28">
        <v>13.406399999999998</v>
      </c>
      <c r="H128" s="50"/>
    </row>
    <row r="129" spans="2:9">
      <c r="B129" s="11">
        <v>4</v>
      </c>
      <c r="C129" s="12" t="s">
        <v>22</v>
      </c>
      <c r="D129" s="13" t="s">
        <v>33</v>
      </c>
      <c r="E129" s="28">
        <v>25.309343999999999</v>
      </c>
      <c r="F129" s="28">
        <v>8.9600000000000009</v>
      </c>
      <c r="H129" s="50"/>
    </row>
    <row r="130" spans="2:9">
      <c r="B130" s="11">
        <v>4</v>
      </c>
      <c r="C130" s="12" t="s">
        <v>23</v>
      </c>
      <c r="D130" s="13" t="s">
        <v>33</v>
      </c>
      <c r="E130" s="28">
        <v>6.0115999999999996</v>
      </c>
      <c r="F130" s="28">
        <v>1.28</v>
      </c>
      <c r="H130" s="50"/>
    </row>
    <row r="131" spans="2:9" ht="15" thickBot="1">
      <c r="H131" s="28"/>
    </row>
    <row r="132" spans="2:9" ht="15" thickBot="1">
      <c r="B132" s="81" t="s">
        <v>82</v>
      </c>
      <c r="C132" s="82"/>
      <c r="D132" s="82"/>
      <c r="E132" s="82"/>
      <c r="F132" s="66">
        <f>+SUMPRODUCT(E107:E130,F107:F130)+F100+F99+F92+F85</f>
        <v>399.42112190451206</v>
      </c>
      <c r="G132" s="67"/>
      <c r="H132" s="68">
        <f>+F132</f>
        <v>399.42112190451206</v>
      </c>
    </row>
    <row r="133" spans="2:9" ht="15" thickBot="1">
      <c r="H133" s="28"/>
    </row>
    <row r="134" spans="2:9" ht="21.6" thickBot="1">
      <c r="B134" s="83" t="s">
        <v>81</v>
      </c>
      <c r="C134" s="84"/>
      <c r="D134" s="84"/>
      <c r="E134" s="84"/>
      <c r="F134" s="78">
        <f>+F132+F83+F62+F18</f>
        <v>95642.221395224493</v>
      </c>
      <c r="G134" s="79"/>
      <c r="H134" s="78">
        <f>+H132+H83+H62+H18</f>
        <v>95839.242237360493</v>
      </c>
      <c r="I134" s="59"/>
    </row>
  </sheetData>
  <mergeCells count="5">
    <mergeCell ref="B18:E18"/>
    <mergeCell ref="B62:E62"/>
    <mergeCell ref="B83:E83"/>
    <mergeCell ref="B132:E132"/>
    <mergeCell ref="B134:E13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e6ee7a-2d7e-48ed-ac63-62ab67beeece}" enabled="1" method="Standard" siteId="{1b36e0d3-47eb-47fc-af0d-153fb00dcd5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Inputs</vt:lpstr>
      <vt:lpstr>OutPut</vt:lpstr>
      <vt:lpstr>Combos y cashback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Tejada Moscoso, Ines Lucia (Soboce S.A.)</dc:creator>
  <cp:lastModifiedBy>Tejada Moscoso, Ines Lucia (Soboce S.A.)</cp:lastModifiedBy>
  <dcterms:created xsi:type="dcterms:W3CDTF">2026-05-14T13:18:18Z</dcterms:created>
  <dcterms:modified xsi:type="dcterms:W3CDTF">2026-05-22T17:53:24Z</dcterms:modified>
</cp:coreProperties>
</file>